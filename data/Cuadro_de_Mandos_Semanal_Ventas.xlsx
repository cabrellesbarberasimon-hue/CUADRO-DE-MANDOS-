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b98342132-my.sharepoint.com/personal/borja_bocubimobiliario_com/Documents/KPIs/Venta/2026/"/>
    </mc:Choice>
  </mc:AlternateContent>
  <xr:revisionPtr revIDLastSave="727" documentId="8_{1BE68B33-8C17-4206-9178-55005A8CED89}" xr6:coauthVersionLast="47" xr6:coauthVersionMax="47" xr10:uidLastSave="{D7AB5DEB-5692-4059-B153-87DA364890A6}"/>
  <bookViews>
    <workbookView xWindow="-120" yWindow="-120" windowWidth="29040" windowHeight="15720" activeTab="1" xr2:uid="{00000000-000D-0000-FFFF-FFFF00000000}"/>
  </bookViews>
  <sheets>
    <sheet name="Instrucciones" sheetId="1" r:id="rId1"/>
    <sheet name="Datos Semanales" sheetId="2" r:id="rId2"/>
    <sheet name="Dashboard" sheetId="4" r:id="rId3"/>
    <sheet name="Plantilla Semana" sheetId="5" r:id="rId4"/>
    <sheet name="Resumen Mensual" sheetId="3" r:id="rId5"/>
  </sheets>
  <definedNames>
    <definedName name="_xlnm._FilterDatabase" localSheetId="1" hidden="1">'Datos Semanales'!$A$4:$AM$57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" i="2" l="1"/>
  <c r="J48" i="2"/>
  <c r="J47" i="2"/>
  <c r="J46" i="2"/>
  <c r="J45" i="2"/>
  <c r="F45" i="2"/>
  <c r="F35" i="2"/>
  <c r="F36" i="2"/>
  <c r="F32" i="2"/>
  <c r="AA30" i="2"/>
  <c r="AA34" i="2"/>
  <c r="AA31" i="2"/>
  <c r="AA32" i="2"/>
  <c r="AA33" i="2"/>
  <c r="AA35" i="2"/>
  <c r="AA36" i="2"/>
  <c r="AA37" i="2"/>
  <c r="J26" i="2"/>
  <c r="F28" i="2"/>
  <c r="U27" i="2"/>
  <c r="AH36" i="2"/>
  <c r="AF36" i="2"/>
  <c r="U26" i="2"/>
  <c r="O25" i="2"/>
  <c r="K21" i="2"/>
  <c r="U24" i="2"/>
  <c r="AA24" i="2"/>
  <c r="T24" i="2"/>
  <c r="X24" i="2"/>
  <c r="O23" i="2"/>
  <c r="O10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" i="2"/>
  <c r="O6" i="2"/>
  <c r="O7" i="2"/>
  <c r="O8" i="2"/>
  <c r="O9" i="2"/>
  <c r="O11" i="2"/>
  <c r="O12" i="2"/>
  <c r="O13" i="2"/>
  <c r="O14" i="2"/>
  <c r="O15" i="2"/>
  <c r="O16" i="2"/>
  <c r="O17" i="2"/>
  <c r="O18" i="2"/>
  <c r="O19" i="2"/>
  <c r="O20" i="2"/>
  <c r="O21" i="2"/>
  <c r="O22" i="2"/>
  <c r="T23" i="2" l="1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AH22" i="2" l="1"/>
  <c r="E22" i="2" l="1"/>
  <c r="X23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Y22" i="2"/>
  <c r="X22" i="2" s="1"/>
  <c r="AA22" i="2"/>
  <c r="AI22" i="2"/>
  <c r="AF22" i="2"/>
  <c r="K22" i="2"/>
  <c r="I22" i="2"/>
  <c r="B7" i="4" s="1"/>
  <c r="AA21" i="2"/>
  <c r="U21" i="2"/>
  <c r="AI21" i="2"/>
  <c r="AH21" i="2"/>
  <c r="AF21" i="2"/>
  <c r="I21" i="2"/>
  <c r="F21" i="2"/>
  <c r="AA23" i="2"/>
  <c r="AA25" i="2"/>
  <c r="AA26" i="2"/>
  <c r="AA27" i="2"/>
  <c r="AA28" i="2"/>
  <c r="AA29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F22" i="2" l="1"/>
  <c r="U22" i="2"/>
  <c r="B8" i="4" s="1"/>
  <c r="F8" i="4" s="1"/>
  <c r="T22" i="2"/>
  <c r="C8" i="3"/>
  <c r="U23" i="2"/>
  <c r="U25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F23" i="2"/>
  <c r="F24" i="2"/>
  <c r="F25" i="2"/>
  <c r="F26" i="2"/>
  <c r="F27" i="2"/>
  <c r="F29" i="2"/>
  <c r="F30" i="2"/>
  <c r="F31" i="2"/>
  <c r="F33" i="2"/>
  <c r="F34" i="2"/>
  <c r="F37" i="2"/>
  <c r="F38" i="2"/>
  <c r="F39" i="2"/>
  <c r="F40" i="2"/>
  <c r="F41" i="2"/>
  <c r="F42" i="2"/>
  <c r="F43" i="2"/>
  <c r="F44" i="2"/>
  <c r="F46" i="2"/>
  <c r="F47" i="2"/>
  <c r="F48" i="2"/>
  <c r="F49" i="2"/>
  <c r="F50" i="2"/>
  <c r="F51" i="2"/>
  <c r="F52" i="2"/>
  <c r="F53" i="2"/>
  <c r="F54" i="2"/>
  <c r="F55" i="2"/>
  <c r="F56" i="2"/>
  <c r="F57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H5" i="2"/>
  <c r="AH6" i="2"/>
  <c r="AH7" i="2"/>
  <c r="AH8" i="2"/>
  <c r="AH9" i="2"/>
  <c r="AH10" i="2"/>
  <c r="AH11" i="2"/>
  <c r="AH12" i="2"/>
  <c r="AH13" i="2"/>
  <c r="AH14" i="2"/>
  <c r="AH15" i="2"/>
  <c r="AH17" i="2"/>
  <c r="AH18" i="2"/>
  <c r="AH19" i="2"/>
  <c r="AH20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D16" i="4" l="1"/>
  <c r="B16" i="4"/>
  <c r="F16" i="4" s="1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24" i="2"/>
  <c r="K23" i="2"/>
  <c r="B12" i="4"/>
  <c r="F12" i="4" s="1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D7" i="4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B11" i="4"/>
  <c r="F11" i="4" s="1"/>
  <c r="H8" i="3"/>
  <c r="D15" i="4"/>
  <c r="B15" i="4"/>
  <c r="F15" i="4" s="1"/>
  <c r="D14" i="4"/>
  <c r="B14" i="4"/>
  <c r="F14" i="4" s="1"/>
  <c r="D13" i="4"/>
  <c r="B13" i="4"/>
  <c r="F13" i="4" s="1"/>
  <c r="D12" i="4"/>
  <c r="D11" i="4"/>
  <c r="D10" i="4"/>
  <c r="D9" i="4"/>
  <c r="B9" i="4"/>
  <c r="F9" i="4" s="1"/>
  <c r="D6" i="4"/>
  <c r="B6" i="4"/>
  <c r="F6" i="4" s="1"/>
  <c r="K16" i="3"/>
  <c r="J16" i="3"/>
  <c r="I16" i="3"/>
  <c r="H16" i="3"/>
  <c r="G16" i="3"/>
  <c r="E16" i="3"/>
  <c r="C16" i="3"/>
  <c r="B16" i="3"/>
  <c r="K15" i="3"/>
  <c r="J15" i="3"/>
  <c r="I15" i="3"/>
  <c r="H15" i="3"/>
  <c r="G15" i="3"/>
  <c r="E15" i="3"/>
  <c r="C15" i="3"/>
  <c r="B15" i="3"/>
  <c r="K14" i="3"/>
  <c r="J14" i="3"/>
  <c r="I14" i="3"/>
  <c r="H14" i="3"/>
  <c r="G14" i="3"/>
  <c r="E14" i="3"/>
  <c r="C14" i="3"/>
  <c r="B14" i="3"/>
  <c r="K13" i="3"/>
  <c r="J13" i="3"/>
  <c r="I13" i="3"/>
  <c r="H13" i="3"/>
  <c r="G13" i="3"/>
  <c r="E13" i="3"/>
  <c r="C13" i="3"/>
  <c r="B13" i="3"/>
  <c r="K12" i="3"/>
  <c r="J12" i="3"/>
  <c r="I12" i="3"/>
  <c r="H12" i="3"/>
  <c r="G12" i="3"/>
  <c r="E12" i="3"/>
  <c r="C12" i="3"/>
  <c r="B12" i="3"/>
  <c r="K11" i="3"/>
  <c r="J11" i="3"/>
  <c r="I11" i="3"/>
  <c r="G11" i="3"/>
  <c r="E11" i="3"/>
  <c r="C11" i="3"/>
  <c r="B11" i="3"/>
  <c r="K10" i="3"/>
  <c r="J10" i="3"/>
  <c r="I10" i="3"/>
  <c r="G10" i="3"/>
  <c r="E10" i="3"/>
  <c r="C10" i="3"/>
  <c r="B10" i="3"/>
  <c r="K9" i="3"/>
  <c r="J9" i="3"/>
  <c r="I9" i="3"/>
  <c r="G9" i="3"/>
  <c r="E9" i="3"/>
  <c r="C9" i="3"/>
  <c r="B9" i="3"/>
  <c r="K8" i="3"/>
  <c r="J8" i="3"/>
  <c r="I8" i="3"/>
  <c r="G8" i="3"/>
  <c r="E8" i="3"/>
  <c r="B8" i="3"/>
  <c r="K7" i="3"/>
  <c r="J7" i="3"/>
  <c r="I7" i="3"/>
  <c r="H7" i="3"/>
  <c r="G7" i="3"/>
  <c r="E7" i="3"/>
  <c r="C7" i="3"/>
  <c r="B7" i="3"/>
  <c r="K6" i="3"/>
  <c r="J6" i="3"/>
  <c r="I6" i="3"/>
  <c r="H6" i="3"/>
  <c r="G6" i="3"/>
  <c r="E6" i="3"/>
  <c r="C6" i="3"/>
  <c r="B6" i="3"/>
  <c r="K5" i="3"/>
  <c r="J5" i="3"/>
  <c r="I5" i="3"/>
  <c r="H5" i="3"/>
  <c r="G5" i="3"/>
  <c r="E5" i="3"/>
  <c r="C5" i="3"/>
  <c r="B5" i="3"/>
  <c r="H11" i="3" l="1"/>
  <c r="H10" i="3"/>
  <c r="H9" i="3"/>
  <c r="D11" i="3"/>
  <c r="D14" i="3"/>
  <c r="D5" i="3"/>
  <c r="D8" i="3"/>
  <c r="F7" i="4"/>
  <c r="B10" i="4"/>
  <c r="F10" i="4" s="1"/>
  <c r="F12" i="3"/>
  <c r="D12" i="3"/>
  <c r="F6" i="3"/>
  <c r="F15" i="3"/>
  <c r="F10" i="3"/>
  <c r="F13" i="3"/>
  <c r="F16" i="3"/>
  <c r="D7" i="3"/>
  <c r="F5" i="3"/>
  <c r="F11" i="3"/>
  <c r="F7" i="3"/>
  <c r="D6" i="3"/>
  <c r="D13" i="3"/>
  <c r="F9" i="3"/>
  <c r="D9" i="3"/>
  <c r="D15" i="3"/>
  <c r="E11" i="4"/>
  <c r="F8" i="3"/>
  <c r="F14" i="3"/>
  <c r="E9" i="4"/>
  <c r="E12" i="4"/>
  <c r="E15" i="4"/>
  <c r="D10" i="3"/>
  <c r="D16" i="3"/>
  <c r="E14" i="4"/>
  <c r="E6" i="4"/>
  <c r="E13" i="4"/>
  <c r="E16" i="4"/>
  <c r="E7" i="4" l="1"/>
  <c r="E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Borja</author>
    <author>Verónica - BoCubi</author>
  </authors>
  <commentList>
    <comment ref="E4" authorId="0" shapeId="0" xr:uid="{0EB7C9F8-88EB-4DCC-889E-D7B14038C85A}">
      <text>
        <r>
          <rPr>
            <b/>
            <sz val="9"/>
            <color indexed="81"/>
            <rFont val="Tahoma"/>
            <family val="2"/>
          </rPr>
          <t>Borja:</t>
        </r>
        <r>
          <rPr>
            <sz val="9"/>
            <color indexed="81"/>
            <rFont val="Tahoma"/>
            <family val="2"/>
          </rPr>
          <t xml:space="preserve">
Nº de pedido pasados esta semana descontado los de menos de 100€ en importe y cantidad de pedidos</t>
        </r>
      </text>
    </comment>
    <comment ref="R4" authorId="0" shapeId="0" xr:uid="{554A82B4-1F86-41EC-969C-775368E52ABE}">
      <text>
        <r>
          <rPr>
            <b/>
            <sz val="9"/>
            <color indexed="81"/>
            <rFont val="Tahoma"/>
            <family val="2"/>
          </rPr>
          <t>Borja:</t>
        </r>
        <r>
          <rPr>
            <sz val="9"/>
            <color indexed="81"/>
            <rFont val="Tahoma"/>
            <family val="2"/>
          </rPr>
          <t xml:space="preserve">
Objetivo Servir por debajo de los 30 días</t>
        </r>
      </text>
    </comment>
    <comment ref="W4" authorId="0" shapeId="0" xr:uid="{452A45EA-277E-444B-910D-477CA3B03E30}">
      <text>
        <r>
          <rPr>
            <b/>
            <sz val="9"/>
            <color indexed="81"/>
            <rFont val="Tahoma"/>
            <family val="2"/>
          </rPr>
          <t>Borja:</t>
        </r>
        <r>
          <rPr>
            <sz val="9"/>
            <color indexed="81"/>
            <rFont val="Tahoma"/>
            <family val="2"/>
          </rPr>
          <t xml:space="preserve">
Objetivo Servir por debajo de los 15 días
</t>
        </r>
      </text>
    </comment>
    <comment ref="Y4" authorId="1" shapeId="0" xr:uid="{057EB237-8565-426B-B128-4CA85751D105}">
      <text>
        <r>
          <rPr>
            <sz val="11"/>
            <color theme="1"/>
            <rFont val="Calibri"/>
            <family val="2"/>
            <scheme val="minor"/>
          </rPr>
          <t>Verónica - BoCubi:
Los pedidos que hay hasta el momento.</t>
        </r>
      </text>
    </comment>
    <comment ref="AA4" authorId="0" shapeId="0" xr:uid="{65244E82-69F8-414B-A895-3049350B05F6}">
      <text>
        <r>
          <rPr>
            <b/>
            <sz val="9"/>
            <color indexed="81"/>
            <rFont val="Tahoma"/>
            <family val="2"/>
          </rPr>
          <t>Borja:</t>
        </r>
        <r>
          <rPr>
            <sz val="9"/>
            <color indexed="81"/>
            <rFont val="Tahoma"/>
            <family val="2"/>
          </rPr>
          <t xml:space="preserve">
Cuantas semanas de trabajo tenemos con los pedidos que hay pendientes</t>
        </r>
      </text>
    </comment>
    <comment ref="AC4" authorId="0" shapeId="0" xr:uid="{5BF07D36-68C2-4392-8142-A79F270AA5A8}">
      <text>
        <r>
          <rPr>
            <b/>
            <sz val="9"/>
            <color indexed="81"/>
            <rFont val="Tahoma"/>
            <family val="2"/>
          </rPr>
          <t>Borja:</t>
        </r>
        <r>
          <rPr>
            <sz val="9"/>
            <color indexed="81"/>
            <rFont val="Tahoma"/>
            <family val="2"/>
          </rPr>
          <t xml:space="preserve">
Coste por Lead que viene del anuncio
</t>
        </r>
      </text>
    </comment>
    <comment ref="AE4" authorId="1" shapeId="0" xr:uid="{702879AA-AD2F-4DA3-AAB5-DABD5611D800}">
      <text>
        <r>
          <rPr>
            <sz val="11"/>
            <color theme="1"/>
            <rFont val="Calibri"/>
            <family val="2"/>
            <scheme val="minor"/>
          </rPr>
          <t xml:space="preserve">Verónica - BoCubi:
Ver en el informe que envian por correo. Los que han comprado en la semana. </t>
        </r>
      </text>
    </comment>
    <comment ref="AG4" authorId="1" shapeId="0" xr:uid="{EB9244DF-AE97-435C-B60C-664719E7D5BD}">
      <text>
        <r>
          <rPr>
            <sz val="11"/>
            <color theme="1"/>
            <rFont val="Calibri"/>
            <family val="2"/>
            <scheme val="minor"/>
          </rPr>
          <t xml:space="preserve">Verónica - BoCubi:
Sacar de informes distribuidores, la última semana. </t>
        </r>
      </text>
    </comment>
  </commentList>
</comments>
</file>

<file path=xl/sharedStrings.xml><?xml version="1.0" encoding="utf-8"?>
<sst xmlns="http://schemas.openxmlformats.org/spreadsheetml/2006/main" count="190" uniqueCount="111">
  <si>
    <t>Control Semanal Bocubi - Instrucciones</t>
  </si>
  <si>
    <t>Uso recomendado para analizar la empresa en 5-10 minutos cada semana.</t>
  </si>
  <si>
    <t>1. Datos Semanales</t>
  </si>
  <si>
    <t>Rellenar una fila por semana. Es la hoja principal de datos. Idealmente la rellena Verónica recogiendo datos de cada responsable.</t>
  </si>
  <si>
    <t>Responsable</t>
  </si>
  <si>
    <t>Verónica</t>
  </si>
  <si>
    <t>2. Dashboard</t>
  </si>
  <si>
    <t>Cambiar la semana en B3. El cuadro se actualiza con fórmulas y semáforos automáticos.</t>
  </si>
  <si>
    <t>Uso</t>
  </si>
  <si>
    <t>Borja + Verónica</t>
  </si>
  <si>
    <t>3. Resumen Mensual</t>
  </si>
  <si>
    <t>Se alimenta de Datos Semanales por mes. Sirve para ver evolución mensual rápida.</t>
  </si>
  <si>
    <t>Dirección</t>
  </si>
  <si>
    <t>4. Plantilla Semana</t>
  </si>
  <si>
    <t>Formato vertical para revisión semanal. Puede imprimirse o usarse como guía de reunión.</t>
  </si>
  <si>
    <t>Reunión semanal</t>
  </si>
  <si>
    <t>Regla clave</t>
  </si>
  <si>
    <t>Si un KPI está en Mal o Alerta, debe haber comentario y acción concreta.</t>
  </si>
  <si>
    <t>Principio</t>
  </si>
  <si>
    <t>Dato → decisión</t>
  </si>
  <si>
    <t>NO RELLENAR. ES AUTOMATICO</t>
  </si>
  <si>
    <t>Datos Semanales</t>
  </si>
  <si>
    <t>Rellenar una fila por semana. Las columnas blancas son datos de entrada; las naranjas son fórmulas.</t>
  </si>
  <si>
    <t>Capacidad Semanal</t>
  </si>
  <si>
    <t>Semana</t>
  </si>
  <si>
    <t>Mes</t>
  </si>
  <si>
    <t>Fecha inicio</t>
  </si>
  <si>
    <t>Fecha fin</t>
  </si>
  <si>
    <t>Nº de Pedidos</t>
  </si>
  <si>
    <t>Ticket medio</t>
  </si>
  <si>
    <t>Ventas (€)</t>
  </si>
  <si>
    <t>Objetivo ventas (€)</t>
  </si>
  <si>
    <t>% vs objetivo</t>
  </si>
  <si>
    <t>Ventas 2024 (€)</t>
  </si>
  <si>
    <t>% vs 2024</t>
  </si>
  <si>
    <t>Nº Presus Enviados</t>
  </si>
  <si>
    <t>Nº Presus Confirmados</t>
  </si>
  <si>
    <t>Presu Confirm (€ )</t>
  </si>
  <si>
    <t>% Presu Confirm</t>
  </si>
  <si>
    <t>Pedidos servidos (€)</t>
  </si>
  <si>
    <t>Nº pedidos servidos</t>
  </si>
  <si>
    <t>Nº Pedidos fuera de plazo</t>
  </si>
  <si>
    <t>Pedidos atrasados (€)</t>
  </si>
  <si>
    <t>% fuera de plazo</t>
  </si>
  <si>
    <t>% incidencias</t>
  </si>
  <si>
    <t>Nº incidencias</t>
  </si>
  <si>
    <t>Nº Incidencias fuera de plazo</t>
  </si>
  <si>
    <t xml:space="preserve">Nº Pedidos pendientes  de servir </t>
  </si>
  <si>
    <t>Pedidos pendientes  de servir (€)</t>
  </si>
  <si>
    <t>Carga fábrica (semanas)</t>
  </si>
  <si>
    <t>Leads generados</t>
  </si>
  <si>
    <t>CPL (€)</t>
  </si>
  <si>
    <t>% conversión landing</t>
  </si>
  <si>
    <t>Nº conversión lead→venta</t>
  </si>
  <si>
    <t>% conversión lead→venta</t>
  </si>
  <si>
    <t xml:space="preserve">Nº leads contactados </t>
  </si>
  <si>
    <t xml:space="preserve">% leads contactados </t>
  </si>
  <si>
    <t>Leads sin trabajar</t>
  </si>
  <si>
    <t>Leads reasignados</t>
  </si>
  <si>
    <t>Responsable resumen</t>
  </si>
  <si>
    <t>Comentario / causa principal</t>
  </si>
  <si>
    <t>Acción de la semana</t>
  </si>
  <si>
    <t xml:space="preserve"> </t>
  </si>
  <si>
    <t>Abril</t>
  </si>
  <si>
    <t>Mayo</t>
  </si>
  <si>
    <t>Varios pendiente por falta de pago.</t>
  </si>
  <si>
    <t>Junio</t>
  </si>
  <si>
    <t>Julio</t>
  </si>
  <si>
    <t>Dashboard Semanal</t>
  </si>
  <si>
    <t>Cambia la semana en B3. El semáforo se calcula automáticamente con reglas simples.</t>
  </si>
  <si>
    <t>Semana a analizar</t>
  </si>
  <si>
    <t>KPI</t>
  </si>
  <si>
    <t>Valor Actual</t>
  </si>
  <si>
    <t>Objetivo</t>
  </si>
  <si>
    <t>Semana Anterior</t>
  </si>
  <si>
    <t>Evolución</t>
  </si>
  <si>
    <t>Estado</t>
  </si>
  <si>
    <t>Comentario / Acción recomendada</t>
  </si>
  <si>
    <t>% vs objetivo ventas</t>
  </si>
  <si>
    <t xml:space="preserve">Pedidos Servidos </t>
  </si>
  <si>
    <t>FOCO SEMANAL</t>
  </si>
  <si>
    <t>KPI prioritario</t>
  </si>
  <si>
    <t>Problema principal</t>
  </si>
  <si>
    <t>Acción concreta</t>
  </si>
  <si>
    <t>Fecha revisión</t>
  </si>
  <si>
    <t>Plantilla de Revisión Semanal</t>
  </si>
  <si>
    <t>Formato vertical para reunión. Copiar o imprimir si se quiere revisar sin entrar al detalle.</t>
  </si>
  <si>
    <t>Área</t>
  </si>
  <si>
    <t>Valor</t>
  </si>
  <si>
    <t>Comentario</t>
  </si>
  <si>
    <t>Acción</t>
  </si>
  <si>
    <t>Ventas</t>
  </si>
  <si>
    <t>Marketing</t>
  </si>
  <si>
    <t>Rafa</t>
  </si>
  <si>
    <t>Sistema Leads</t>
  </si>
  <si>
    <t>% contactados &lt;24h</t>
  </si>
  <si>
    <t>Verónica / Sheila</t>
  </si>
  <si>
    <t>Producción</t>
  </si>
  <si>
    <t>Manolo / Juan</t>
  </si>
  <si>
    <t>Resumen Mensual</t>
  </si>
  <si>
    <t>Visión mensual rápida. Se calcula desde la hoja Datos Semanales.</t>
  </si>
  <si>
    <t>Ventas totales (€)</t>
  </si>
  <si>
    <t>Leads totales</t>
  </si>
  <si>
    <t>Enero</t>
  </si>
  <si>
    <t>Febrero</t>
  </si>
  <si>
    <t>Marzo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</si>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</sst>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6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i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666666"/>
      <name val="Calibri"/>
      <family val="2"/>
    </font>
    <font>
      <sz val="11"/>
      <color rgb="FF0000FF"/>
      <name val="Calibri"/>
      <family val="2"/>
    </font>
    <font>
      <b/>
      <sz val="11"/>
      <color rgb="FF0000FF"/>
      <name val="Calibri"/>
      <family val="2"/>
    </font>
    <font>
      <b/>
      <sz val="11"/>
      <color theme="6"/>
      <name val="Calibri"/>
      <family val="2"/>
    </font>
    <font>
      <sz val="11"/>
      <color theme="6"/>
      <name val="Calibri"/>
      <family val="2"/>
    </font>
    <font>
      <sz val="11"/>
      <color theme="6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6" tint="-0.249977111117893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FFEAF4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hair">
        <color rgb="FFD9E2F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4" borderId="0" xfId="0" applyFont="1" applyFill="1"/>
    <xf numFmtId="0" fontId="0" fillId="0" borderId="0" xfId="0" applyAlignment="1">
      <alignment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164" fontId="0" fillId="0" borderId="2" xfId="0" applyNumberFormat="1" applyBorder="1"/>
    <xf numFmtId="0" fontId="0" fillId="0" borderId="2" xfId="0" applyBorder="1" applyAlignment="1">
      <alignment vertical="center" wrapText="1"/>
    </xf>
    <xf numFmtId="0" fontId="6" fillId="7" borderId="2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8" borderId="0" xfId="0" applyFill="1"/>
    <xf numFmtId="0" fontId="0" fillId="0" borderId="0" xfId="0" applyAlignment="1">
      <alignment horizontal="center" vertical="center" wrapText="1"/>
    </xf>
    <xf numFmtId="0" fontId="7" fillId="5" borderId="0" xfId="0" applyFont="1" applyFill="1" applyAlignment="1">
      <alignment horizontal="center"/>
    </xf>
    <xf numFmtId="0" fontId="0" fillId="0" borderId="2" xfId="0" applyBorder="1" applyAlignment="1">
      <alignment horizontal="center" vertical="center" wrapText="1"/>
    </xf>
    <xf numFmtId="3" fontId="0" fillId="8" borderId="2" xfId="0" applyNumberFormat="1" applyFill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 wrapText="1"/>
    </xf>
    <xf numFmtId="164" fontId="0" fillId="8" borderId="2" xfId="0" applyNumberForma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3" fillId="6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4" fillId="8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3" fontId="6" fillId="0" borderId="3" xfId="0" applyNumberFormat="1" applyFont="1" applyBorder="1" applyAlignment="1">
      <alignment horizontal="center" vertical="center" wrapText="1"/>
    </xf>
    <xf numFmtId="3" fontId="6" fillId="8" borderId="3" xfId="0" applyNumberFormat="1" applyFont="1" applyFill="1" applyBorder="1" applyAlignment="1">
      <alignment horizontal="center" vertical="center" wrapText="1"/>
    </xf>
    <xf numFmtId="3" fontId="9" fillId="0" borderId="3" xfId="0" applyNumberFormat="1" applyFont="1" applyBorder="1" applyAlignment="1">
      <alignment horizontal="center" vertical="center" wrapText="1"/>
    </xf>
    <xf numFmtId="164" fontId="6" fillId="8" borderId="3" xfId="0" applyNumberFormat="1" applyFont="1" applyFill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3" fontId="6" fillId="9" borderId="3" xfId="0" applyNumberFormat="1" applyFont="1" applyFill="1" applyBorder="1" applyAlignment="1">
      <alignment horizontal="center" vertical="center" wrapText="1"/>
    </xf>
    <xf numFmtId="165" fontId="6" fillId="8" borderId="3" xfId="0" applyNumberFormat="1" applyFont="1" applyFill="1" applyBorder="1" applyAlignment="1">
      <alignment horizontal="center" vertical="center" wrapText="1"/>
    </xf>
    <xf numFmtId="3" fontId="15" fillId="0" borderId="3" xfId="0" applyNumberFormat="1" applyFont="1" applyBorder="1" applyAlignment="1">
      <alignment horizontal="center" vertical="center" wrapText="1"/>
    </xf>
    <xf numFmtId="164" fontId="15" fillId="8" borderId="3" xfId="0" applyNumberFormat="1" applyFont="1" applyFill="1" applyBorder="1" applyAlignment="1">
      <alignment horizontal="center" vertical="center" wrapText="1"/>
    </xf>
    <xf numFmtId="3" fontId="15" fillId="8" borderId="3" xfId="0" applyNumberFormat="1" applyFont="1" applyFill="1" applyBorder="1" applyAlignment="1">
      <alignment horizontal="center" vertical="center" wrapText="1"/>
    </xf>
    <xf numFmtId="0" fontId="13" fillId="0" borderId="5" xfId="0" applyFont="1" applyBorder="1"/>
    <xf numFmtId="3" fontId="13" fillId="0" borderId="6" xfId="0" applyNumberFormat="1" applyFont="1" applyBorder="1" applyAlignment="1">
      <alignment horizontal="center"/>
    </xf>
    <xf numFmtId="3" fontId="13" fillId="0" borderId="0" xfId="0" applyNumberFormat="1" applyFont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7" borderId="0" xfId="0" applyFill="1" applyAlignment="1">
      <alignment horizontal="center" wrapText="1"/>
    </xf>
    <xf numFmtId="0" fontId="0" fillId="5" borderId="0" xfId="0" applyFill="1" applyAlignment="1">
      <alignment horizontal="center" wrapText="1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10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>
          <fgColor rgb="FF92D050"/>
        </patternFill>
      </fill>
    </dxf>
    <dxf>
      <fill>
        <patternFill>
          <fgColor theme="0"/>
          <bgColor theme="6"/>
        </patternFill>
      </fill>
    </dxf>
    <dxf>
      <fill>
        <patternFill>
          <fgColor auto="1"/>
          <bgColor theme="9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Ventas semanales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'Datos Semanales'!$G$4</c:f>
              <c:strCache>
                <c:ptCount val="1"/>
                <c:pt idx="0">
                  <c:v>Ventas (€)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'Datos Semanales'!$A$5:$A$57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'Datos Semanales'!$G$5:$G$57</c:f>
              <c:numCache>
                <c:formatCode>#,##0</c:formatCode>
                <c:ptCount val="53"/>
                <c:pt idx="16">
                  <c:v>60500</c:v>
                </c:pt>
                <c:pt idx="17">
                  <c:v>45293.88</c:v>
                </c:pt>
                <c:pt idx="18">
                  <c:v>59639.98</c:v>
                </c:pt>
                <c:pt idx="19">
                  <c:v>19513.759999999998</c:v>
                </c:pt>
                <c:pt idx="20">
                  <c:v>36773.19</c:v>
                </c:pt>
                <c:pt idx="21">
                  <c:v>52167.44</c:v>
                </c:pt>
                <c:pt idx="22">
                  <c:v>32729</c:v>
                </c:pt>
                <c:pt idx="23">
                  <c:v>33410</c:v>
                </c:pt>
                <c:pt idx="24">
                  <c:v>46200</c:v>
                </c:pt>
                <c:pt idx="25">
                  <c:v>20000</c:v>
                </c:pt>
                <c:pt idx="26">
                  <c:v>34680</c:v>
                </c:pt>
                <c:pt idx="27">
                  <c:v>10860</c:v>
                </c:pt>
                <c:pt idx="28">
                  <c:v>15350</c:v>
                </c:pt>
                <c:pt idx="29">
                  <c:v>13995</c:v>
                </c:pt>
                <c:pt idx="30">
                  <c:v>20330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49990</c:v>
                </c:pt>
                <c:pt idx="35">
                  <c:v>27770</c:v>
                </c:pt>
                <c:pt idx="36">
                  <c:v>15130</c:v>
                </c:pt>
                <c:pt idx="37">
                  <c:v>32640</c:v>
                </c:pt>
                <c:pt idx="38">
                  <c:v>17645</c:v>
                </c:pt>
                <c:pt idx="39">
                  <c:v>45440</c:v>
                </c:pt>
                <c:pt idx="40">
                  <c:v>19905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3D0-4920-BD36-7E1CA1479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Semana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€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% incidencias y % fuera de plazo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'Datos Semanales'!$T$4</c:f>
              <c:strCache>
                <c:ptCount val="1"/>
                <c:pt idx="0">
                  <c:v>% fuera de plazo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'Datos Semanales'!$A$5:$A$57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'Datos Semanales'!$T$5:$T$57</c:f>
              <c:numCache>
                <c:formatCode>0.0%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0.13636363636363635</c:v>
                </c:pt>
                <c:pt idx="20">
                  <c:v>2.3529411764705882E-2</c:v>
                </c:pt>
                <c:pt idx="21">
                  <c:v>6.7567567567567571E-2</c:v>
                </c:pt>
                <c:pt idx="22">
                  <c:v>1.3157894736842105E-2</c:v>
                </c:pt>
                <c:pt idx="23">
                  <c:v>2.5000000000000001E-2</c:v>
                </c:pt>
                <c:pt idx="24">
                  <c:v>3.8461538461538464E-2</c:v>
                </c:pt>
                <c:pt idx="25">
                  <c:v>6.5573770491803282E-2</c:v>
                </c:pt>
                <c:pt idx="26">
                  <c:v>0</c:v>
                </c:pt>
                <c:pt idx="27">
                  <c:v>7.8431372549019607E-2</c:v>
                </c:pt>
                <c:pt idx="28">
                  <c:v>0</c:v>
                </c:pt>
                <c:pt idx="29">
                  <c:v>0.21951219512195122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A1E-413C-B9D8-675D427D05BE}"/>
            </c:ext>
          </c:extLst>
        </c:ser>
        <c:ser>
          <c:idx val="1"/>
          <c:order val="1"/>
          <c:tx>
            <c:strRef>
              <c:f>'Datos Semanales'!#REF!</c:f>
              <c:strCache>
                <c:ptCount val="1"/>
                <c:pt idx="0">
                  <c:v>#¡REF!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'Datos Semanales'!$A$5:$A$57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'Datos Semanales'!#REF!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A1E-413C-B9D8-675D427D05BE}"/>
            </c:ext>
          </c:extLst>
        </c:ser>
        <c:ser>
          <c:idx val="2"/>
          <c:order val="2"/>
          <c:tx>
            <c:strRef>
              <c:f>'Datos Semanales'!$U$4</c:f>
              <c:strCache>
                <c:ptCount val="1"/>
                <c:pt idx="0">
                  <c:v>% incidencias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'Datos Semanales'!$A$5:$A$57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'Datos Semanales'!$U$5:$U$57</c:f>
              <c:numCache>
                <c:formatCode>0.0%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0.5714285714285714</c:v>
                </c:pt>
                <c:pt idx="17">
                  <c:v>0</c:v>
                </c:pt>
                <c:pt idx="18">
                  <c:v>0</c:v>
                </c:pt>
                <c:pt idx="19">
                  <c:v>0.68421052631578949</c:v>
                </c:pt>
                <c:pt idx="20">
                  <c:v>0.29629629629629628</c:v>
                </c:pt>
                <c:pt idx="21">
                  <c:v>0.23333333333333334</c:v>
                </c:pt>
                <c:pt idx="22">
                  <c:v>0.40909090909090912</c:v>
                </c:pt>
                <c:pt idx="23">
                  <c:v>0</c:v>
                </c:pt>
                <c:pt idx="24">
                  <c:v>0</c:v>
                </c:pt>
                <c:pt idx="25">
                  <c:v>0.1875</c:v>
                </c:pt>
                <c:pt idx="26">
                  <c:v>0.58620689655172409</c:v>
                </c:pt>
                <c:pt idx="27">
                  <c:v>0.1875</c:v>
                </c:pt>
                <c:pt idx="28">
                  <c:v>1.5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A1E-413C-B9D8-675D427D0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Semana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%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Evolución mensual ventas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'Resumen Mensual'!$B$4</c:f>
              <c:strCache>
                <c:ptCount val="1"/>
                <c:pt idx="0">
                  <c:v>Ventas totales (€)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'Resumen Mensual'!$A$5:$A$16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'Resumen Mensual'!$B$5:$B$16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105793.88</c:v>
                </c:pt>
                <c:pt idx="4">
                  <c:v>168094.37</c:v>
                </c:pt>
                <c:pt idx="5">
                  <c:v>167019</c:v>
                </c:pt>
                <c:pt idx="6">
                  <c:v>60535</c:v>
                </c:pt>
                <c:pt idx="7">
                  <c:v>49990</c:v>
                </c:pt>
                <c:pt idx="8">
                  <c:v>138625</c:v>
                </c:pt>
                <c:pt idx="9">
                  <c:v>19905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746-49BB-B2F8-9A6BA7672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Mes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€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4</xdr:row>
      <xdr:rowOff>0</xdr:rowOff>
    </xdr:from>
    <xdr:ext cx="432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19</xdr:row>
      <xdr:rowOff>0</xdr:rowOff>
    </xdr:from>
    <xdr:ext cx="4320000" cy="21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3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  <wetp:taskpane dockstate="right" visibility="0" width="350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4072797-3D40-4171-B379-C27FE5614A2B}">
  <we:reference id="WA200005502" version="1.0.0.13" store="Omex" storeType="OMEX"/>
  <we:alternateReferences>
    <we:reference id="WA200005502" version="1.0.0.13" store="WA200005502" storeType="OMEX"/>
  </we:alternateReferences>
  <we:properties>
    <we:property name="docId" value="&quot;uxkCn-Xx6Rla0WUlgIoy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8A5446F6-34E7-4453-913B-343F64F358FF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60ebba4a-213e-4a46-b73c-c967fff0f5bf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showGridLines="0" workbookViewId="0">
      <selection activeCell="B19" sqref="B19"/>
    </sheetView>
  </sheetViews>
  <sheetFormatPr baseColWidth="10" defaultColWidth="8.85546875" defaultRowHeight="15" x14ac:dyDescent="0.25"/>
  <cols>
    <col min="1" max="1" width="28" customWidth="1"/>
    <col min="2" max="2" width="95" customWidth="1"/>
    <col min="3" max="6" width="18" customWidth="1"/>
  </cols>
  <sheetData>
    <row r="1" spans="1:6" ht="25.9" customHeight="1" x14ac:dyDescent="0.25">
      <c r="A1" s="50" t="s">
        <v>0</v>
      </c>
      <c r="B1" s="49"/>
      <c r="C1" s="49"/>
      <c r="D1" s="49"/>
      <c r="E1" s="49"/>
      <c r="F1" s="49"/>
    </row>
    <row r="2" spans="1:6" ht="28.15" customHeight="1" x14ac:dyDescent="0.25">
      <c r="A2" s="48" t="s">
        <v>1</v>
      </c>
      <c r="B2" s="49"/>
      <c r="C2" s="49"/>
      <c r="D2" s="49"/>
      <c r="E2" s="49"/>
      <c r="F2" s="49"/>
    </row>
    <row r="4" spans="1:6" ht="30" x14ac:dyDescent="0.25">
      <c r="A4" s="1" t="s">
        <v>2</v>
      </c>
      <c r="B4" s="2" t="s">
        <v>3</v>
      </c>
      <c r="C4" s="3" t="s">
        <v>4</v>
      </c>
      <c r="D4" t="s">
        <v>5</v>
      </c>
    </row>
    <row r="6" spans="1:6" x14ac:dyDescent="0.25">
      <c r="A6" s="1" t="s">
        <v>6</v>
      </c>
      <c r="B6" s="2" t="s">
        <v>7</v>
      </c>
      <c r="C6" s="3" t="s">
        <v>8</v>
      </c>
      <c r="D6" t="s">
        <v>9</v>
      </c>
    </row>
    <row r="8" spans="1:6" x14ac:dyDescent="0.25">
      <c r="A8" s="1" t="s">
        <v>10</v>
      </c>
      <c r="B8" s="2" t="s">
        <v>11</v>
      </c>
      <c r="C8" s="3" t="s">
        <v>8</v>
      </c>
      <c r="D8" t="s">
        <v>12</v>
      </c>
    </row>
    <row r="10" spans="1:6" x14ac:dyDescent="0.25">
      <c r="A10" s="1" t="s">
        <v>13</v>
      </c>
      <c r="B10" s="2" t="s">
        <v>14</v>
      </c>
      <c r="C10" s="3" t="s">
        <v>8</v>
      </c>
      <c r="D10" t="s">
        <v>15</v>
      </c>
    </row>
    <row r="12" spans="1:6" x14ac:dyDescent="0.25">
      <c r="A12" s="1" t="s">
        <v>16</v>
      </c>
      <c r="B12" s="2" t="s">
        <v>17</v>
      </c>
      <c r="C12" s="3" t="s">
        <v>18</v>
      </c>
      <c r="D12" t="s">
        <v>19</v>
      </c>
    </row>
    <row r="17" spans="1:2" x14ac:dyDescent="0.25">
      <c r="A17" s="12"/>
      <c r="B17" t="s">
        <v>20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57"/>
  <sheetViews>
    <sheetView showGridLines="0" tabSelected="1" workbookViewId="0">
      <pane ySplit="4" topLeftCell="A11" activePane="bottomLeft" state="frozen"/>
      <selection pane="bottomLeft" activeCell="AF18" sqref="AF18"/>
    </sheetView>
  </sheetViews>
  <sheetFormatPr baseColWidth="10" defaultColWidth="8.85546875" defaultRowHeight="15" x14ac:dyDescent="0.25"/>
  <cols>
    <col min="1" max="1" width="7.7109375" style="10" customWidth="1"/>
    <col min="2" max="2" width="8.42578125" style="10" customWidth="1"/>
    <col min="3" max="3" width="13.140625" style="10" customWidth="1"/>
    <col min="4" max="5" width="11.7109375" style="10" customWidth="1"/>
    <col min="6" max="6" width="10.7109375" style="10" customWidth="1"/>
    <col min="7" max="7" width="11" style="10" customWidth="1"/>
    <col min="8" max="8" width="11.85546875" style="11" customWidth="1"/>
    <col min="9" max="9" width="11.42578125" style="10" customWidth="1"/>
    <col min="10" max="10" width="12.140625" style="10" customWidth="1"/>
    <col min="11" max="11" width="8.5703125" style="10" customWidth="1"/>
    <col min="12" max="12" width="10.42578125" style="10" customWidth="1"/>
    <col min="13" max="13" width="7.7109375" style="10" customWidth="1"/>
    <col min="14" max="14" width="10.140625" style="10" customWidth="1"/>
    <col min="15" max="15" width="11.5703125" style="10" customWidth="1"/>
    <col min="16" max="16" width="11.7109375" style="10" customWidth="1"/>
    <col min="17" max="17" width="11.28515625" style="10" customWidth="1"/>
    <col min="18" max="18" width="11.42578125" style="10" customWidth="1"/>
    <col min="19" max="19" width="8.42578125" style="10" customWidth="1"/>
    <col min="20" max="20" width="7" style="10" customWidth="1"/>
    <col min="21" max="21" width="8.5703125" style="10" customWidth="1"/>
    <col min="22" max="22" width="7.85546875" style="10" customWidth="1"/>
    <col min="23" max="23" width="11.42578125" style="10" customWidth="1"/>
    <col min="24" max="24" width="8.140625" style="10" customWidth="1"/>
    <col min="25" max="25" width="9.140625" style="10" customWidth="1"/>
    <col min="26" max="27" width="8.28515625" style="10" customWidth="1"/>
    <col min="28" max="28" width="9.42578125" style="10" customWidth="1"/>
    <col min="29" max="29" width="8.7109375" style="10" customWidth="1"/>
    <col min="30" max="30" width="11.5703125" style="10" customWidth="1"/>
    <col min="31" max="32" width="10.85546875" style="10" customWidth="1"/>
    <col min="33" max="33" width="9.5703125" style="10" customWidth="1"/>
    <col min="34" max="34" width="9" style="10" customWidth="1"/>
    <col min="35" max="35" width="11" style="10" customWidth="1"/>
    <col min="36" max="45" width="10.7109375" style="10" customWidth="1"/>
    <col min="46" max="46" width="11.85546875" style="10" customWidth="1"/>
    <col min="47" max="47" width="29.7109375" style="10" bestFit="1" customWidth="1"/>
    <col min="48" max="48" width="22.7109375" style="10" bestFit="1" customWidth="1"/>
    <col min="49" max="16384" width="8.85546875" style="10"/>
  </cols>
  <sheetData>
    <row r="1" spans="1:45" ht="2.4500000000000002" customHeight="1" x14ac:dyDescent="0.25">
      <c r="A1" s="45" t="s">
        <v>21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</row>
    <row r="2" spans="1:45" ht="28.15" customHeight="1" thickBot="1" x14ac:dyDescent="0.3">
      <c r="A2" s="43" t="s">
        <v>22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3" spans="1:45" x14ac:dyDescent="0.25">
      <c r="X3" s="46" t="s">
        <v>23</v>
      </c>
      <c r="Y3" s="47"/>
      <c r="Z3" s="40"/>
      <c r="AA3" s="41">
        <v>45000</v>
      </c>
      <c r="AK3" s="42"/>
      <c r="AL3" s="42"/>
      <c r="AM3" s="42"/>
      <c r="AN3" s="42"/>
      <c r="AO3" s="42"/>
      <c r="AP3" s="42"/>
      <c r="AQ3" s="42"/>
      <c r="AR3" s="42"/>
      <c r="AS3" s="42"/>
    </row>
    <row r="4" spans="1:45" s="13" customFormat="1" ht="75" x14ac:dyDescent="0.25">
      <c r="A4" s="26" t="s">
        <v>24</v>
      </c>
      <c r="B4" s="26" t="s">
        <v>25</v>
      </c>
      <c r="C4" s="26" t="s">
        <v>26</v>
      </c>
      <c r="D4" s="26" t="s">
        <v>27</v>
      </c>
      <c r="E4" s="26" t="s">
        <v>28</v>
      </c>
      <c r="F4" s="26" t="s">
        <v>29</v>
      </c>
      <c r="G4" s="26" t="s">
        <v>30</v>
      </c>
      <c r="H4" s="27" t="s">
        <v>31</v>
      </c>
      <c r="I4" s="26" t="s">
        <v>32</v>
      </c>
      <c r="J4" s="26" t="s">
        <v>33</v>
      </c>
      <c r="K4" s="26" t="s">
        <v>34</v>
      </c>
      <c r="L4" s="26" t="s">
        <v>35</v>
      </c>
      <c r="M4" s="26" t="s">
        <v>36</v>
      </c>
      <c r="N4" s="26" t="s">
        <v>37</v>
      </c>
      <c r="O4" s="26" t="s">
        <v>38</v>
      </c>
      <c r="P4" s="26" t="s">
        <v>39</v>
      </c>
      <c r="Q4" s="26" t="s">
        <v>40</v>
      </c>
      <c r="R4" s="26" t="s">
        <v>41</v>
      </c>
      <c r="S4" s="26" t="s">
        <v>42</v>
      </c>
      <c r="T4" s="26" t="s">
        <v>43</v>
      </c>
      <c r="U4" s="26" t="s">
        <v>44</v>
      </c>
      <c r="V4" s="26" t="s">
        <v>45</v>
      </c>
      <c r="W4" s="26" t="s">
        <v>46</v>
      </c>
      <c r="X4" s="26" t="s">
        <v>29</v>
      </c>
      <c r="Y4" s="26" t="s">
        <v>47</v>
      </c>
      <c r="Z4" s="26" t="s">
        <v>48</v>
      </c>
      <c r="AA4" s="26" t="s">
        <v>49</v>
      </c>
      <c r="AB4" s="26" t="s">
        <v>50</v>
      </c>
      <c r="AC4" s="26" t="s">
        <v>51</v>
      </c>
      <c r="AD4" s="26" t="s">
        <v>52</v>
      </c>
      <c r="AE4" s="26" t="s">
        <v>53</v>
      </c>
      <c r="AF4" s="26" t="s">
        <v>54</v>
      </c>
      <c r="AG4" s="26" t="s">
        <v>55</v>
      </c>
      <c r="AH4" s="26" t="s">
        <v>56</v>
      </c>
      <c r="AI4" s="26" t="s">
        <v>57</v>
      </c>
      <c r="AJ4" s="26" t="s">
        <v>58</v>
      </c>
      <c r="AK4" s="26" t="s">
        <v>59</v>
      </c>
      <c r="AL4" s="26" t="s">
        <v>60</v>
      </c>
      <c r="AM4" s="26" t="s">
        <v>61</v>
      </c>
    </row>
    <row r="5" spans="1:45" x14ac:dyDescent="0.25">
      <c r="A5" s="28">
        <v>1</v>
      </c>
      <c r="B5" s="28"/>
      <c r="C5" s="29"/>
      <c r="D5" s="29"/>
      <c r="E5" s="30"/>
      <c r="F5" s="31" t="str">
        <f t="shared" ref="F5:F57" si="0">IF(OR(E5="",E5=0,G5=""),"",G5/E5)</f>
        <v/>
      </c>
      <c r="G5" s="30"/>
      <c r="H5" s="32">
        <v>46500</v>
      </c>
      <c r="I5" s="33" t="str">
        <f t="shared" ref="I5:I20" si="1">IF(OR(G5="",H5=""),"",G5/H5)</f>
        <v/>
      </c>
      <c r="J5" s="30"/>
      <c r="K5" s="33" t="str">
        <f t="shared" ref="K5:K20" si="2">IF(OR(G5="",J5=""),"",G5/J5-1)</f>
        <v/>
      </c>
      <c r="L5" s="30"/>
      <c r="M5" s="30"/>
      <c r="N5" s="30"/>
      <c r="O5" s="33" t="str">
        <f t="shared" ref="O5:O57" si="3">IF(OR(L5="",L5=0,M5=""),"",M5/L5)</f>
        <v/>
      </c>
      <c r="P5" s="30"/>
      <c r="Q5" s="30"/>
      <c r="R5" s="30"/>
      <c r="S5" s="30"/>
      <c r="T5" s="33" t="str">
        <f t="shared" ref="T5:T36" si="4">IF(OR(Y5="",Y5=0,R5=""),"",R5/Y5)</f>
        <v/>
      </c>
      <c r="U5" s="33" t="str">
        <f t="shared" ref="U5:U31" si="5">IF(OR(E5="",E5=0,V5=""),"",V5/E5)</f>
        <v/>
      </c>
      <c r="V5" s="30"/>
      <c r="W5" s="30"/>
      <c r="X5" s="31" t="str">
        <f t="shared" ref="X5:X57" si="6">IF(OR(Y5="",Y5=0,Z5=""),"",Z5/Y5)</f>
        <v/>
      </c>
      <c r="Y5" s="30"/>
      <c r="Z5" s="30"/>
      <c r="AA5" s="31" t="str">
        <f t="shared" ref="AA5:AA37" si="7">IF(Z5="","",Z5/$AA$3)</f>
        <v/>
      </c>
      <c r="AB5" s="30"/>
      <c r="AC5" s="30"/>
      <c r="AD5" s="34"/>
      <c r="AE5" s="30"/>
      <c r="AF5" s="33" t="str">
        <f t="shared" ref="AF5:AF36" si="8">IF(OR(AB5="",AB5=0),"",AE5/AB5)</f>
        <v/>
      </c>
      <c r="AG5" s="30"/>
      <c r="AH5" s="33" t="str">
        <f t="shared" ref="AH5:AH15" si="9">IF(OR(AB5="",AB5=0,AG5=""),"",AG5/AB5)</f>
        <v/>
      </c>
      <c r="AI5" s="31" t="str">
        <f t="shared" ref="AI5:AI36" si="10">IF(OR(AB5="",AG5=""),"",AB5-AG5)</f>
        <v/>
      </c>
      <c r="AJ5" s="35"/>
      <c r="AK5" s="28"/>
      <c r="AL5" s="28"/>
      <c r="AM5" s="28"/>
    </row>
    <row r="6" spans="1:45" x14ac:dyDescent="0.25">
      <c r="A6" s="28">
        <v>2</v>
      </c>
      <c r="B6" s="28"/>
      <c r="C6" s="29"/>
      <c r="D6" s="29"/>
      <c r="E6" s="30"/>
      <c r="F6" s="31" t="str">
        <f t="shared" si="0"/>
        <v/>
      </c>
      <c r="G6" s="30"/>
      <c r="H6" s="32">
        <v>46500</v>
      </c>
      <c r="I6" s="33" t="str">
        <f t="shared" si="1"/>
        <v/>
      </c>
      <c r="J6" s="30"/>
      <c r="K6" s="33" t="str">
        <f t="shared" si="2"/>
        <v/>
      </c>
      <c r="L6" s="30"/>
      <c r="M6" s="30"/>
      <c r="N6" s="30"/>
      <c r="O6" s="33" t="str">
        <f t="shared" si="3"/>
        <v/>
      </c>
      <c r="P6" s="30"/>
      <c r="Q6" s="30"/>
      <c r="R6" s="30"/>
      <c r="S6" s="30"/>
      <c r="T6" s="33" t="str">
        <f t="shared" si="4"/>
        <v/>
      </c>
      <c r="U6" s="33" t="str">
        <f t="shared" si="5"/>
        <v/>
      </c>
      <c r="V6" s="30"/>
      <c r="W6" s="30"/>
      <c r="X6" s="31" t="str">
        <f t="shared" si="6"/>
        <v/>
      </c>
      <c r="Y6" s="30"/>
      <c r="Z6" s="30"/>
      <c r="AA6" s="31" t="str">
        <f t="shared" si="7"/>
        <v/>
      </c>
      <c r="AB6" s="30"/>
      <c r="AC6" s="30"/>
      <c r="AD6" s="34"/>
      <c r="AE6" s="30"/>
      <c r="AF6" s="33" t="str">
        <f t="shared" si="8"/>
        <v/>
      </c>
      <c r="AG6" s="30"/>
      <c r="AH6" s="33" t="str">
        <f t="shared" si="9"/>
        <v/>
      </c>
      <c r="AI6" s="31" t="str">
        <f t="shared" si="10"/>
        <v/>
      </c>
      <c r="AJ6" s="35"/>
      <c r="AK6" s="28"/>
      <c r="AL6" s="28"/>
      <c r="AM6" s="28"/>
    </row>
    <row r="7" spans="1:45" x14ac:dyDescent="0.25">
      <c r="A7" s="28">
        <v>3</v>
      </c>
      <c r="B7" s="28"/>
      <c r="C7" s="29"/>
      <c r="D7" s="29"/>
      <c r="E7" s="30"/>
      <c r="F7" s="31" t="str">
        <f t="shared" si="0"/>
        <v/>
      </c>
      <c r="G7" s="30"/>
      <c r="H7" s="32">
        <v>46500</v>
      </c>
      <c r="I7" s="33" t="str">
        <f t="shared" si="1"/>
        <v/>
      </c>
      <c r="J7" s="30"/>
      <c r="K7" s="33" t="str">
        <f t="shared" si="2"/>
        <v/>
      </c>
      <c r="L7" s="30"/>
      <c r="M7" s="30"/>
      <c r="N7" s="30"/>
      <c r="O7" s="33" t="str">
        <f t="shared" si="3"/>
        <v/>
      </c>
      <c r="P7" s="30"/>
      <c r="Q7" s="30"/>
      <c r="R7" s="30"/>
      <c r="S7" s="30"/>
      <c r="T7" s="33" t="str">
        <f t="shared" si="4"/>
        <v/>
      </c>
      <c r="U7" s="33" t="str">
        <f t="shared" si="5"/>
        <v/>
      </c>
      <c r="V7" s="30"/>
      <c r="W7" s="30"/>
      <c r="X7" s="31" t="str">
        <f t="shared" si="6"/>
        <v/>
      </c>
      <c r="Y7" s="30"/>
      <c r="Z7" s="30"/>
      <c r="AA7" s="31" t="str">
        <f t="shared" si="7"/>
        <v/>
      </c>
      <c r="AB7" s="30"/>
      <c r="AC7" s="30"/>
      <c r="AD7" s="34"/>
      <c r="AE7" s="30"/>
      <c r="AF7" s="33" t="str">
        <f t="shared" si="8"/>
        <v/>
      </c>
      <c r="AG7" s="30"/>
      <c r="AH7" s="33" t="str">
        <f t="shared" si="9"/>
        <v/>
      </c>
      <c r="AI7" s="31" t="str">
        <f t="shared" si="10"/>
        <v/>
      </c>
      <c r="AJ7" s="35"/>
      <c r="AK7" s="28"/>
      <c r="AL7" s="28"/>
      <c r="AM7" s="28"/>
    </row>
    <row r="8" spans="1:45" x14ac:dyDescent="0.25">
      <c r="A8" s="28">
        <v>4</v>
      </c>
      <c r="B8" s="28"/>
      <c r="C8" s="29"/>
      <c r="D8" s="29"/>
      <c r="E8" s="30"/>
      <c r="F8" s="31" t="str">
        <f t="shared" si="0"/>
        <v/>
      </c>
      <c r="G8" s="30"/>
      <c r="H8" s="32">
        <v>46500</v>
      </c>
      <c r="I8" s="33" t="str">
        <f t="shared" si="1"/>
        <v/>
      </c>
      <c r="J8" s="30"/>
      <c r="K8" s="33" t="str">
        <f t="shared" si="2"/>
        <v/>
      </c>
      <c r="L8" s="30"/>
      <c r="M8" s="30"/>
      <c r="N8" s="30"/>
      <c r="O8" s="33" t="str">
        <f t="shared" si="3"/>
        <v/>
      </c>
      <c r="P8" s="30"/>
      <c r="Q8" s="30"/>
      <c r="R8" s="30"/>
      <c r="S8" s="30"/>
      <c r="T8" s="33" t="str">
        <f t="shared" si="4"/>
        <v/>
      </c>
      <c r="U8" s="33" t="str">
        <f t="shared" si="5"/>
        <v/>
      </c>
      <c r="V8" s="30"/>
      <c r="W8" s="30"/>
      <c r="X8" s="31" t="str">
        <f t="shared" si="6"/>
        <v/>
      </c>
      <c r="Y8" s="30"/>
      <c r="Z8" s="30"/>
      <c r="AA8" s="36" t="str">
        <f t="shared" si="7"/>
        <v/>
      </c>
      <c r="AB8" s="30"/>
      <c r="AC8" s="30"/>
      <c r="AD8" s="34"/>
      <c r="AE8" s="30"/>
      <c r="AF8" s="33" t="str">
        <f t="shared" si="8"/>
        <v/>
      </c>
      <c r="AG8" s="30"/>
      <c r="AH8" s="33" t="str">
        <f t="shared" si="9"/>
        <v/>
      </c>
      <c r="AI8" s="31" t="str">
        <f t="shared" si="10"/>
        <v/>
      </c>
      <c r="AJ8" s="35"/>
      <c r="AK8" s="28"/>
      <c r="AL8" s="28"/>
      <c r="AM8" s="28"/>
    </row>
    <row r="9" spans="1:45" x14ac:dyDescent="0.25">
      <c r="A9" s="28">
        <v>5</v>
      </c>
      <c r="B9" s="28"/>
      <c r="C9" s="29"/>
      <c r="D9" s="29"/>
      <c r="E9" s="30"/>
      <c r="F9" s="31" t="str">
        <f t="shared" si="0"/>
        <v/>
      </c>
      <c r="G9" s="30"/>
      <c r="H9" s="32">
        <v>46500</v>
      </c>
      <c r="I9" s="33" t="str">
        <f t="shared" si="1"/>
        <v/>
      </c>
      <c r="J9" s="30"/>
      <c r="K9" s="33" t="str">
        <f t="shared" si="2"/>
        <v/>
      </c>
      <c r="L9" s="30"/>
      <c r="M9" s="30"/>
      <c r="N9" s="30"/>
      <c r="O9" s="33" t="str">
        <f t="shared" si="3"/>
        <v/>
      </c>
      <c r="P9" s="30"/>
      <c r="Q9" s="30"/>
      <c r="R9" s="30"/>
      <c r="S9" s="30"/>
      <c r="T9" s="33" t="str">
        <f t="shared" si="4"/>
        <v/>
      </c>
      <c r="U9" s="33" t="str">
        <f t="shared" si="5"/>
        <v/>
      </c>
      <c r="V9" s="30"/>
      <c r="W9" s="30"/>
      <c r="X9" s="31" t="str">
        <f t="shared" si="6"/>
        <v/>
      </c>
      <c r="Y9" s="30"/>
      <c r="Z9" s="30"/>
      <c r="AA9" s="36" t="str">
        <f t="shared" si="7"/>
        <v/>
      </c>
      <c r="AB9" s="30"/>
      <c r="AC9" s="30"/>
      <c r="AD9" s="34"/>
      <c r="AE9" s="30"/>
      <c r="AF9" s="33" t="str">
        <f t="shared" si="8"/>
        <v/>
      </c>
      <c r="AG9" s="30"/>
      <c r="AH9" s="33" t="str">
        <f t="shared" si="9"/>
        <v/>
      </c>
      <c r="AI9" s="31" t="str">
        <f t="shared" si="10"/>
        <v/>
      </c>
      <c r="AJ9" s="35"/>
      <c r="AK9" s="28"/>
      <c r="AL9" s="28"/>
      <c r="AM9" s="28"/>
    </row>
    <row r="10" spans="1:45" x14ac:dyDescent="0.25">
      <c r="A10" s="28">
        <v>6</v>
      </c>
      <c r="B10" s="28"/>
      <c r="C10" s="29"/>
      <c r="D10" s="29"/>
      <c r="E10" s="30"/>
      <c r="F10" s="31" t="str">
        <f t="shared" si="0"/>
        <v/>
      </c>
      <c r="G10" s="30"/>
      <c r="H10" s="32">
        <v>46500</v>
      </c>
      <c r="I10" s="33" t="str">
        <f t="shared" si="1"/>
        <v/>
      </c>
      <c r="J10" s="30"/>
      <c r="K10" s="33" t="str">
        <f t="shared" si="2"/>
        <v/>
      </c>
      <c r="L10" s="30"/>
      <c r="M10" s="30"/>
      <c r="N10" s="30"/>
      <c r="O10" s="33" t="str">
        <f>IF(OR(L10="",L10=0,M10=""),"",M10/L10)</f>
        <v/>
      </c>
      <c r="P10" s="30"/>
      <c r="Q10" s="30"/>
      <c r="R10" s="30"/>
      <c r="S10" s="30"/>
      <c r="T10" s="33" t="str">
        <f t="shared" si="4"/>
        <v/>
      </c>
      <c r="U10" s="33" t="str">
        <f t="shared" si="5"/>
        <v/>
      </c>
      <c r="V10" s="30"/>
      <c r="W10" s="30"/>
      <c r="X10" s="31" t="str">
        <f t="shared" si="6"/>
        <v/>
      </c>
      <c r="Y10" s="30"/>
      <c r="Z10" s="30"/>
      <c r="AA10" s="36" t="str">
        <f t="shared" si="7"/>
        <v/>
      </c>
      <c r="AB10" s="30"/>
      <c r="AC10" s="30"/>
      <c r="AD10" s="34"/>
      <c r="AE10" s="30"/>
      <c r="AF10" s="33" t="str">
        <f t="shared" si="8"/>
        <v/>
      </c>
      <c r="AG10" s="30"/>
      <c r="AH10" s="33" t="str">
        <f t="shared" si="9"/>
        <v/>
      </c>
      <c r="AI10" s="31" t="str">
        <f t="shared" si="10"/>
        <v/>
      </c>
      <c r="AJ10" s="35"/>
      <c r="AK10" s="28"/>
      <c r="AL10" s="28"/>
      <c r="AM10" s="28"/>
    </row>
    <row r="11" spans="1:45" x14ac:dyDescent="0.25">
      <c r="A11" s="28">
        <v>7</v>
      </c>
      <c r="B11" s="28"/>
      <c r="C11" s="29"/>
      <c r="D11" s="29"/>
      <c r="E11" s="30"/>
      <c r="F11" s="31" t="str">
        <f t="shared" si="0"/>
        <v/>
      </c>
      <c r="G11" s="30"/>
      <c r="H11" s="32">
        <v>46500</v>
      </c>
      <c r="I11" s="33" t="str">
        <f t="shared" si="1"/>
        <v/>
      </c>
      <c r="J11" s="30"/>
      <c r="K11" s="33" t="str">
        <f t="shared" si="2"/>
        <v/>
      </c>
      <c r="L11" s="30"/>
      <c r="M11" s="30"/>
      <c r="N11" s="30"/>
      <c r="O11" s="33" t="str">
        <f t="shared" si="3"/>
        <v/>
      </c>
      <c r="P11" s="30"/>
      <c r="Q11" s="30"/>
      <c r="R11" s="30"/>
      <c r="S11" s="30"/>
      <c r="T11" s="33" t="str">
        <f t="shared" si="4"/>
        <v/>
      </c>
      <c r="U11" s="33" t="str">
        <f t="shared" si="5"/>
        <v/>
      </c>
      <c r="V11" s="30"/>
      <c r="W11" s="30"/>
      <c r="X11" s="31" t="str">
        <f t="shared" si="6"/>
        <v/>
      </c>
      <c r="Y11" s="30"/>
      <c r="Z11" s="30"/>
      <c r="AA11" s="36" t="str">
        <f t="shared" si="7"/>
        <v/>
      </c>
      <c r="AB11" s="30"/>
      <c r="AC11" s="30"/>
      <c r="AD11" s="34"/>
      <c r="AE11" s="30"/>
      <c r="AF11" s="33" t="str">
        <f t="shared" si="8"/>
        <v/>
      </c>
      <c r="AG11" s="30"/>
      <c r="AH11" s="33" t="str">
        <f t="shared" si="9"/>
        <v/>
      </c>
      <c r="AI11" s="31" t="str">
        <f t="shared" si="10"/>
        <v/>
      </c>
      <c r="AJ11" s="35"/>
      <c r="AK11" s="28"/>
      <c r="AL11" s="28"/>
      <c r="AM11" s="28"/>
    </row>
    <row r="12" spans="1:45" x14ac:dyDescent="0.25">
      <c r="A12" s="28">
        <v>8</v>
      </c>
      <c r="B12" s="28"/>
      <c r="C12" s="29"/>
      <c r="D12" s="29"/>
      <c r="E12" s="30"/>
      <c r="F12" s="31" t="str">
        <f t="shared" si="0"/>
        <v/>
      </c>
      <c r="G12" s="30"/>
      <c r="H12" s="32">
        <v>46500</v>
      </c>
      <c r="I12" s="33" t="str">
        <f t="shared" si="1"/>
        <v/>
      </c>
      <c r="J12" s="30"/>
      <c r="K12" s="33" t="str">
        <f t="shared" si="2"/>
        <v/>
      </c>
      <c r="L12" s="30"/>
      <c r="M12" s="30"/>
      <c r="N12" s="30"/>
      <c r="O12" s="33" t="str">
        <f t="shared" si="3"/>
        <v/>
      </c>
      <c r="P12" s="30"/>
      <c r="Q12" s="30"/>
      <c r="R12" s="30"/>
      <c r="S12" s="30"/>
      <c r="T12" s="33" t="str">
        <f t="shared" si="4"/>
        <v/>
      </c>
      <c r="U12" s="33" t="str">
        <f t="shared" si="5"/>
        <v/>
      </c>
      <c r="V12" s="30"/>
      <c r="W12" s="30"/>
      <c r="X12" s="31" t="str">
        <f t="shared" si="6"/>
        <v/>
      </c>
      <c r="Y12" s="30"/>
      <c r="Z12" s="30"/>
      <c r="AA12" s="36" t="str">
        <f t="shared" si="7"/>
        <v/>
      </c>
      <c r="AB12" s="30"/>
      <c r="AC12" s="30"/>
      <c r="AD12" s="34"/>
      <c r="AE12" s="30"/>
      <c r="AF12" s="33" t="str">
        <f t="shared" si="8"/>
        <v/>
      </c>
      <c r="AG12" s="30"/>
      <c r="AH12" s="33" t="str">
        <f t="shared" si="9"/>
        <v/>
      </c>
      <c r="AI12" s="31" t="str">
        <f t="shared" si="10"/>
        <v/>
      </c>
      <c r="AJ12" s="35"/>
      <c r="AK12" s="28"/>
      <c r="AL12" s="28"/>
      <c r="AM12" s="28"/>
    </row>
    <row r="13" spans="1:45" x14ac:dyDescent="0.25">
      <c r="A13" s="28">
        <v>9</v>
      </c>
      <c r="B13" s="28"/>
      <c r="C13" s="29"/>
      <c r="D13" s="29"/>
      <c r="E13" s="30"/>
      <c r="F13" s="31" t="str">
        <f t="shared" si="0"/>
        <v/>
      </c>
      <c r="G13" s="30"/>
      <c r="H13" s="32">
        <v>46500</v>
      </c>
      <c r="I13" s="33" t="str">
        <f t="shared" si="1"/>
        <v/>
      </c>
      <c r="J13" s="30"/>
      <c r="K13" s="33" t="str">
        <f t="shared" si="2"/>
        <v/>
      </c>
      <c r="L13" s="30"/>
      <c r="M13" s="30"/>
      <c r="N13" s="30"/>
      <c r="O13" s="33" t="str">
        <f t="shared" si="3"/>
        <v/>
      </c>
      <c r="P13" s="30"/>
      <c r="Q13" s="30"/>
      <c r="R13" s="30"/>
      <c r="S13" s="30"/>
      <c r="T13" s="33" t="str">
        <f t="shared" si="4"/>
        <v/>
      </c>
      <c r="U13" s="33" t="str">
        <f t="shared" si="5"/>
        <v/>
      </c>
      <c r="V13" s="30"/>
      <c r="W13" s="30"/>
      <c r="X13" s="31" t="str">
        <f t="shared" si="6"/>
        <v/>
      </c>
      <c r="Y13" s="30"/>
      <c r="Z13" s="30"/>
      <c r="AA13" s="36" t="str">
        <f t="shared" si="7"/>
        <v/>
      </c>
      <c r="AB13" s="30"/>
      <c r="AC13" s="30"/>
      <c r="AD13" s="34"/>
      <c r="AE13" s="30"/>
      <c r="AF13" s="33" t="str">
        <f t="shared" si="8"/>
        <v/>
      </c>
      <c r="AG13" s="30"/>
      <c r="AH13" s="33" t="str">
        <f t="shared" si="9"/>
        <v/>
      </c>
      <c r="AI13" s="31" t="str">
        <f t="shared" si="10"/>
        <v/>
      </c>
      <c r="AJ13" s="35"/>
      <c r="AK13" s="28"/>
      <c r="AL13" s="28"/>
      <c r="AM13" s="28"/>
    </row>
    <row r="14" spans="1:45" x14ac:dyDescent="0.25">
      <c r="A14" s="28">
        <v>10</v>
      </c>
      <c r="B14" s="28"/>
      <c r="C14" s="29"/>
      <c r="D14" s="29"/>
      <c r="E14" s="30"/>
      <c r="F14" s="31" t="str">
        <f t="shared" si="0"/>
        <v/>
      </c>
      <c r="G14" s="30"/>
      <c r="H14" s="32">
        <v>46500</v>
      </c>
      <c r="I14" s="33" t="str">
        <f t="shared" si="1"/>
        <v/>
      </c>
      <c r="J14" s="30"/>
      <c r="K14" s="33" t="str">
        <f t="shared" si="2"/>
        <v/>
      </c>
      <c r="L14" s="30"/>
      <c r="M14" s="30"/>
      <c r="N14" s="30"/>
      <c r="O14" s="33" t="str">
        <f t="shared" si="3"/>
        <v/>
      </c>
      <c r="P14" s="30"/>
      <c r="Q14" s="30"/>
      <c r="R14" s="30"/>
      <c r="S14" s="30"/>
      <c r="T14" s="33" t="str">
        <f t="shared" si="4"/>
        <v/>
      </c>
      <c r="U14" s="33" t="str">
        <f t="shared" si="5"/>
        <v/>
      </c>
      <c r="V14" s="30"/>
      <c r="W14" s="30"/>
      <c r="X14" s="31" t="str">
        <f t="shared" si="6"/>
        <v/>
      </c>
      <c r="Y14" s="30"/>
      <c r="Z14" s="30"/>
      <c r="AA14" s="36" t="str">
        <f t="shared" si="7"/>
        <v/>
      </c>
      <c r="AB14" s="30"/>
      <c r="AC14" s="30"/>
      <c r="AD14" s="34"/>
      <c r="AE14" s="30"/>
      <c r="AF14" s="33" t="str">
        <f t="shared" si="8"/>
        <v/>
      </c>
      <c r="AG14" s="30"/>
      <c r="AH14" s="33" t="str">
        <f t="shared" si="9"/>
        <v/>
      </c>
      <c r="AI14" s="31" t="str">
        <f t="shared" si="10"/>
        <v/>
      </c>
      <c r="AJ14" s="35"/>
      <c r="AK14" s="28"/>
      <c r="AL14" s="28"/>
      <c r="AM14" s="28"/>
    </row>
    <row r="15" spans="1:45" x14ac:dyDescent="0.25">
      <c r="A15" s="28">
        <v>11</v>
      </c>
      <c r="B15" s="28"/>
      <c r="C15" s="29"/>
      <c r="D15" s="29"/>
      <c r="E15" s="30"/>
      <c r="F15" s="31" t="str">
        <f t="shared" si="0"/>
        <v/>
      </c>
      <c r="G15" s="30"/>
      <c r="H15" s="32">
        <v>46500</v>
      </c>
      <c r="I15" s="33" t="str">
        <f t="shared" si="1"/>
        <v/>
      </c>
      <c r="J15" s="30"/>
      <c r="K15" s="33" t="str">
        <f t="shared" si="2"/>
        <v/>
      </c>
      <c r="L15" s="30"/>
      <c r="M15" s="30"/>
      <c r="N15" s="30"/>
      <c r="O15" s="33" t="str">
        <f t="shared" si="3"/>
        <v/>
      </c>
      <c r="P15" s="30"/>
      <c r="Q15" s="30"/>
      <c r="R15" s="30"/>
      <c r="S15" s="30"/>
      <c r="T15" s="33" t="str">
        <f t="shared" si="4"/>
        <v/>
      </c>
      <c r="U15" s="33" t="str">
        <f t="shared" si="5"/>
        <v/>
      </c>
      <c r="V15" s="30"/>
      <c r="W15" s="30"/>
      <c r="X15" s="31" t="str">
        <f t="shared" si="6"/>
        <v/>
      </c>
      <c r="Y15" s="30"/>
      <c r="Z15" s="30"/>
      <c r="AA15" s="36" t="str">
        <f t="shared" si="7"/>
        <v/>
      </c>
      <c r="AB15" s="30"/>
      <c r="AC15" s="30"/>
      <c r="AD15" s="34"/>
      <c r="AE15" s="30"/>
      <c r="AF15" s="33" t="str">
        <f t="shared" si="8"/>
        <v/>
      </c>
      <c r="AG15" s="30"/>
      <c r="AH15" s="33" t="str">
        <f t="shared" si="9"/>
        <v/>
      </c>
      <c r="AI15" s="31" t="str">
        <f t="shared" si="10"/>
        <v/>
      </c>
      <c r="AJ15" s="35"/>
      <c r="AK15" s="28"/>
      <c r="AL15" s="28"/>
      <c r="AM15" s="28"/>
    </row>
    <row r="16" spans="1:45" x14ac:dyDescent="0.25">
      <c r="A16" s="28">
        <v>12</v>
      </c>
      <c r="B16" s="28"/>
      <c r="C16" s="29"/>
      <c r="D16" s="29"/>
      <c r="E16" s="30"/>
      <c r="F16" s="31" t="str">
        <f t="shared" si="0"/>
        <v/>
      </c>
      <c r="G16" s="30"/>
      <c r="H16" s="32">
        <v>46500</v>
      </c>
      <c r="I16" s="33" t="str">
        <f t="shared" si="1"/>
        <v/>
      </c>
      <c r="J16" s="30"/>
      <c r="K16" s="33" t="str">
        <f t="shared" si="2"/>
        <v/>
      </c>
      <c r="L16" s="30"/>
      <c r="M16" s="30"/>
      <c r="N16" s="30"/>
      <c r="O16" s="33" t="str">
        <f t="shared" si="3"/>
        <v/>
      </c>
      <c r="P16" s="30"/>
      <c r="Q16" s="30"/>
      <c r="R16" s="30"/>
      <c r="S16" s="30"/>
      <c r="T16" s="33" t="str">
        <f t="shared" si="4"/>
        <v/>
      </c>
      <c r="U16" s="33" t="str">
        <f t="shared" si="5"/>
        <v/>
      </c>
      <c r="V16" s="30"/>
      <c r="W16" s="30"/>
      <c r="X16" s="31" t="str">
        <f t="shared" si="6"/>
        <v/>
      </c>
      <c r="Y16" s="30"/>
      <c r="Z16" s="30"/>
      <c r="AA16" s="36" t="str">
        <f t="shared" si="7"/>
        <v/>
      </c>
      <c r="AB16" s="30"/>
      <c r="AC16" s="30"/>
      <c r="AD16" s="34"/>
      <c r="AE16" s="30"/>
      <c r="AF16" s="33" t="str">
        <f t="shared" si="8"/>
        <v/>
      </c>
      <c r="AG16" s="30"/>
      <c r="AH16" s="33" t="s">
        <v>62</v>
      </c>
      <c r="AI16" s="31" t="str">
        <f t="shared" si="10"/>
        <v/>
      </c>
      <c r="AJ16" s="35"/>
      <c r="AK16" s="28"/>
      <c r="AL16" s="28"/>
      <c r="AM16" s="28"/>
    </row>
    <row r="17" spans="1:39" x14ac:dyDescent="0.25">
      <c r="A17" s="28">
        <v>13</v>
      </c>
      <c r="B17" s="28"/>
      <c r="C17" s="29"/>
      <c r="D17" s="29"/>
      <c r="E17" s="30"/>
      <c r="F17" s="31" t="str">
        <f t="shared" si="0"/>
        <v/>
      </c>
      <c r="G17" s="30"/>
      <c r="H17" s="32">
        <v>46500</v>
      </c>
      <c r="I17" s="33" t="str">
        <f t="shared" si="1"/>
        <v/>
      </c>
      <c r="J17" s="30"/>
      <c r="K17" s="33" t="str">
        <f t="shared" si="2"/>
        <v/>
      </c>
      <c r="L17" s="30"/>
      <c r="M17" s="30"/>
      <c r="N17" s="30"/>
      <c r="O17" s="33" t="str">
        <f t="shared" si="3"/>
        <v/>
      </c>
      <c r="P17" s="30"/>
      <c r="Q17" s="30"/>
      <c r="R17" s="30"/>
      <c r="S17" s="30"/>
      <c r="T17" s="33" t="str">
        <f t="shared" si="4"/>
        <v/>
      </c>
      <c r="U17" s="33" t="str">
        <f t="shared" si="5"/>
        <v/>
      </c>
      <c r="V17" s="30"/>
      <c r="W17" s="30"/>
      <c r="X17" s="31" t="str">
        <f t="shared" si="6"/>
        <v/>
      </c>
      <c r="Y17" s="30"/>
      <c r="Z17" s="30"/>
      <c r="AA17" s="36" t="str">
        <f t="shared" si="7"/>
        <v/>
      </c>
      <c r="AB17" s="30"/>
      <c r="AC17" s="30"/>
      <c r="AD17" s="34"/>
      <c r="AE17" s="30"/>
      <c r="AF17" s="33" t="str">
        <f t="shared" si="8"/>
        <v/>
      </c>
      <c r="AG17" s="30"/>
      <c r="AH17" s="33" t="str">
        <f t="shared" ref="AH17:AH57" si="11">IF(OR(AB17="",AB17=0,AG17=""),"",AG17/AB17)</f>
        <v/>
      </c>
      <c r="AI17" s="31" t="str">
        <f t="shared" si="10"/>
        <v/>
      </c>
      <c r="AJ17" s="35"/>
      <c r="AK17" s="28"/>
      <c r="AL17" s="28"/>
      <c r="AM17" s="28"/>
    </row>
    <row r="18" spans="1:39" x14ac:dyDescent="0.25">
      <c r="A18" s="28">
        <v>14</v>
      </c>
      <c r="B18" s="28"/>
      <c r="C18" s="29"/>
      <c r="D18" s="29"/>
      <c r="E18" s="30"/>
      <c r="F18" s="31" t="str">
        <f t="shared" si="0"/>
        <v/>
      </c>
      <c r="G18" s="30"/>
      <c r="H18" s="32">
        <v>46500</v>
      </c>
      <c r="I18" s="33" t="str">
        <f t="shared" si="1"/>
        <v/>
      </c>
      <c r="J18" s="30"/>
      <c r="K18" s="33" t="str">
        <f t="shared" si="2"/>
        <v/>
      </c>
      <c r="L18" s="30"/>
      <c r="M18" s="30"/>
      <c r="N18" s="30"/>
      <c r="O18" s="33" t="str">
        <f t="shared" si="3"/>
        <v/>
      </c>
      <c r="P18" s="30"/>
      <c r="Q18" s="30"/>
      <c r="R18" s="30"/>
      <c r="S18" s="30"/>
      <c r="T18" s="33" t="str">
        <f t="shared" si="4"/>
        <v/>
      </c>
      <c r="U18" s="33" t="str">
        <f t="shared" si="5"/>
        <v/>
      </c>
      <c r="V18" s="30"/>
      <c r="W18" s="30"/>
      <c r="X18" s="31" t="str">
        <f t="shared" si="6"/>
        <v/>
      </c>
      <c r="Y18" s="30"/>
      <c r="Z18" s="30"/>
      <c r="AA18" s="36" t="str">
        <f t="shared" si="7"/>
        <v/>
      </c>
      <c r="AB18" s="30"/>
      <c r="AC18" s="30"/>
      <c r="AD18" s="34"/>
      <c r="AE18" s="30"/>
      <c r="AF18" s="33" t="str">
        <f t="shared" si="8"/>
        <v/>
      </c>
      <c r="AG18" s="30"/>
      <c r="AH18" s="33" t="str">
        <f t="shared" si="11"/>
        <v/>
      </c>
      <c r="AI18" s="31" t="str">
        <f t="shared" si="10"/>
        <v/>
      </c>
      <c r="AJ18" s="35"/>
      <c r="AK18" s="28"/>
      <c r="AL18" s="28"/>
      <c r="AM18" s="28"/>
    </row>
    <row r="19" spans="1:39" x14ac:dyDescent="0.25">
      <c r="A19" s="28">
        <v>15</v>
      </c>
      <c r="B19" s="28"/>
      <c r="C19" s="29"/>
      <c r="D19" s="29"/>
      <c r="E19" s="30"/>
      <c r="F19" s="31" t="str">
        <f t="shared" si="0"/>
        <v/>
      </c>
      <c r="G19" s="30"/>
      <c r="H19" s="32">
        <v>46500</v>
      </c>
      <c r="I19" s="33" t="str">
        <f t="shared" si="1"/>
        <v/>
      </c>
      <c r="J19" s="30"/>
      <c r="K19" s="33" t="str">
        <f t="shared" si="2"/>
        <v/>
      </c>
      <c r="L19" s="30"/>
      <c r="M19" s="30"/>
      <c r="N19" s="30"/>
      <c r="O19" s="33" t="str">
        <f t="shared" si="3"/>
        <v/>
      </c>
      <c r="P19" s="30"/>
      <c r="Q19" s="30"/>
      <c r="R19" s="30"/>
      <c r="S19" s="30"/>
      <c r="T19" s="33" t="str">
        <f t="shared" si="4"/>
        <v/>
      </c>
      <c r="U19" s="33" t="str">
        <f t="shared" si="5"/>
        <v/>
      </c>
      <c r="V19" s="30"/>
      <c r="W19" s="30"/>
      <c r="X19" s="31" t="str">
        <f t="shared" si="6"/>
        <v/>
      </c>
      <c r="Y19" s="30"/>
      <c r="Z19" s="30"/>
      <c r="AA19" s="36" t="str">
        <f t="shared" si="7"/>
        <v/>
      </c>
      <c r="AB19" s="30"/>
      <c r="AC19" s="30"/>
      <c r="AD19" s="34"/>
      <c r="AE19" s="30"/>
      <c r="AF19" s="33" t="str">
        <f t="shared" si="8"/>
        <v/>
      </c>
      <c r="AG19" s="30"/>
      <c r="AH19" s="33" t="str">
        <f t="shared" si="11"/>
        <v/>
      </c>
      <c r="AI19" s="31" t="str">
        <f t="shared" si="10"/>
        <v/>
      </c>
      <c r="AJ19" s="35"/>
      <c r="AK19" s="28"/>
      <c r="AL19" s="28"/>
      <c r="AM19" s="28"/>
    </row>
    <row r="20" spans="1:39" x14ac:dyDescent="0.25">
      <c r="A20" s="28">
        <v>16</v>
      </c>
      <c r="B20" s="28"/>
      <c r="C20" s="29"/>
      <c r="D20" s="29"/>
      <c r="E20" s="30"/>
      <c r="F20" s="31" t="str">
        <f t="shared" si="0"/>
        <v/>
      </c>
      <c r="G20" s="30"/>
      <c r="H20" s="32">
        <v>46500</v>
      </c>
      <c r="I20" s="33" t="str">
        <f t="shared" si="1"/>
        <v/>
      </c>
      <c r="J20" s="30"/>
      <c r="K20" s="33" t="str">
        <f t="shared" si="2"/>
        <v/>
      </c>
      <c r="L20" s="30"/>
      <c r="M20" s="30"/>
      <c r="N20" s="30"/>
      <c r="O20" s="33" t="str">
        <f t="shared" si="3"/>
        <v/>
      </c>
      <c r="P20" s="30"/>
      <c r="Q20" s="30"/>
      <c r="R20" s="30"/>
      <c r="S20" s="30"/>
      <c r="T20" s="33" t="str">
        <f t="shared" si="4"/>
        <v/>
      </c>
      <c r="U20" s="33" t="str">
        <f t="shared" si="5"/>
        <v/>
      </c>
      <c r="V20" s="30"/>
      <c r="W20" s="30"/>
      <c r="X20" s="31" t="str">
        <f t="shared" si="6"/>
        <v/>
      </c>
      <c r="Y20" s="30"/>
      <c r="Z20" s="30"/>
      <c r="AA20" s="36" t="str">
        <f t="shared" si="7"/>
        <v/>
      </c>
      <c r="AB20" s="30"/>
      <c r="AC20" s="30"/>
      <c r="AD20" s="34"/>
      <c r="AE20" s="30"/>
      <c r="AF20" s="33" t="str">
        <f t="shared" si="8"/>
        <v/>
      </c>
      <c r="AG20" s="30"/>
      <c r="AH20" s="33" t="str">
        <f t="shared" si="11"/>
        <v/>
      </c>
      <c r="AI20" s="31" t="str">
        <f t="shared" si="10"/>
        <v/>
      </c>
      <c r="AJ20" s="35"/>
      <c r="AK20" s="28"/>
      <c r="AL20" s="28"/>
      <c r="AM20" s="28"/>
    </row>
    <row r="21" spans="1:39" x14ac:dyDescent="0.25">
      <c r="A21" s="28">
        <v>17</v>
      </c>
      <c r="B21" s="28" t="s">
        <v>63</v>
      </c>
      <c r="C21" s="29">
        <v>46130</v>
      </c>
      <c r="D21" s="29">
        <v>46136</v>
      </c>
      <c r="E21" s="30">
        <v>21</v>
      </c>
      <c r="F21" s="31">
        <f>IF(OR(E21="",E21=0,G21=""),"",G21/E21)</f>
        <v>2880.9523809523807</v>
      </c>
      <c r="G21" s="30">
        <v>60500</v>
      </c>
      <c r="H21" s="32">
        <v>46500</v>
      </c>
      <c r="I21" s="33">
        <f>IF(OR(G21="",H21=""),"",G21/H21)</f>
        <v>1.3010752688172043</v>
      </c>
      <c r="J21" s="30">
        <v>45700</v>
      </c>
      <c r="K21" s="33">
        <f>IF(OR(G21="",J21=""),"",G21/J21-1)</f>
        <v>0.32385120350109409</v>
      </c>
      <c r="L21" s="30"/>
      <c r="M21" s="30"/>
      <c r="N21" s="30"/>
      <c r="O21" s="33" t="str">
        <f t="shared" si="3"/>
        <v/>
      </c>
      <c r="P21" s="30">
        <v>30900</v>
      </c>
      <c r="Q21" s="30"/>
      <c r="R21" s="30"/>
      <c r="S21" s="30"/>
      <c r="T21" s="33" t="str">
        <f t="shared" si="4"/>
        <v/>
      </c>
      <c r="U21" s="33">
        <f t="shared" si="5"/>
        <v>0.5714285714285714</v>
      </c>
      <c r="V21" s="30">
        <v>12</v>
      </c>
      <c r="W21" s="30"/>
      <c r="X21" s="31" t="str">
        <f t="shared" si="6"/>
        <v/>
      </c>
      <c r="Y21" s="30"/>
      <c r="Z21" s="30">
        <v>171524.64</v>
      </c>
      <c r="AA21" s="36">
        <f t="shared" si="7"/>
        <v>3.8116586666666672</v>
      </c>
      <c r="AB21" s="30">
        <v>54</v>
      </c>
      <c r="AC21" s="30"/>
      <c r="AD21" s="34"/>
      <c r="AE21" s="30">
        <v>1</v>
      </c>
      <c r="AF21" s="33">
        <f t="shared" si="8"/>
        <v>1.8518518518518517E-2</v>
      </c>
      <c r="AG21" s="30"/>
      <c r="AH21" s="33" t="str">
        <f t="shared" si="11"/>
        <v/>
      </c>
      <c r="AI21" s="31" t="str">
        <f t="shared" si="10"/>
        <v/>
      </c>
      <c r="AJ21" s="35"/>
      <c r="AK21" s="28" t="s">
        <v>5</v>
      </c>
      <c r="AL21" s="28"/>
      <c r="AM21" s="28"/>
    </row>
    <row r="22" spans="1:39" x14ac:dyDescent="0.25">
      <c r="A22" s="28">
        <v>18</v>
      </c>
      <c r="B22" s="28" t="s">
        <v>63</v>
      </c>
      <c r="C22" s="29">
        <v>46139</v>
      </c>
      <c r="D22" s="29">
        <v>46142</v>
      </c>
      <c r="E22" s="30">
        <f>29-2</f>
        <v>27</v>
      </c>
      <c r="F22" s="31">
        <f t="shared" ref="F22" si="12">IF(OR(E22="",E22=0,G22=""),"",G22/E22)</f>
        <v>1677.5511111111109</v>
      </c>
      <c r="G22" s="30">
        <v>45293.88</v>
      </c>
      <c r="H22" s="32">
        <v>46500</v>
      </c>
      <c r="I22" s="33">
        <f t="shared" ref="I22" si="13">IF(OR(G22="",H22=""),"",G22/H22)</f>
        <v>0.97406193548387088</v>
      </c>
      <c r="J22" s="30">
        <v>52700</v>
      </c>
      <c r="K22" s="33">
        <f>IF(OR(G22="",J22=""),"",G22/J22-1)</f>
        <v>-0.14053358633776092</v>
      </c>
      <c r="L22" s="30"/>
      <c r="M22" s="30"/>
      <c r="N22" s="30"/>
      <c r="O22" s="33" t="str">
        <f>IF(OR(L22="",L22=0,M22=""),"",M22/L22)</f>
        <v/>
      </c>
      <c r="P22" s="30">
        <v>52888.83</v>
      </c>
      <c r="Q22" s="30"/>
      <c r="R22" s="30">
        <v>0</v>
      </c>
      <c r="S22" s="30">
        <v>0</v>
      </c>
      <c r="T22" s="33">
        <f t="shared" si="4"/>
        <v>0</v>
      </c>
      <c r="U22" s="33" t="str">
        <f t="shared" si="5"/>
        <v/>
      </c>
      <c r="V22" s="30"/>
      <c r="W22" s="30"/>
      <c r="X22" s="31">
        <f>IF(OR(Y22="",Y22=0,Z22=""),"",Z22/Y22)</f>
        <v>1986.0158823529412</v>
      </c>
      <c r="Y22" s="30">
        <f>92-7</f>
        <v>85</v>
      </c>
      <c r="Z22" s="30">
        <v>168811.35</v>
      </c>
      <c r="AA22" s="36">
        <f t="shared" si="7"/>
        <v>3.7513633333333334</v>
      </c>
      <c r="AB22" s="30">
        <v>53</v>
      </c>
      <c r="AC22" s="30"/>
      <c r="AD22" s="34"/>
      <c r="AE22" s="30">
        <v>1</v>
      </c>
      <c r="AF22" s="33">
        <f t="shared" si="8"/>
        <v>1.8867924528301886E-2</v>
      </c>
      <c r="AG22" s="37">
        <v>23</v>
      </c>
      <c r="AH22" s="38">
        <f t="shared" si="11"/>
        <v>0.43396226415094341</v>
      </c>
      <c r="AI22" s="39">
        <f t="shared" si="10"/>
        <v>30</v>
      </c>
      <c r="AJ22" s="35"/>
      <c r="AK22" s="28" t="s">
        <v>5</v>
      </c>
      <c r="AL22" s="28"/>
      <c r="AM22" s="28"/>
    </row>
    <row r="23" spans="1:39" x14ac:dyDescent="0.25">
      <c r="A23" s="28">
        <v>19</v>
      </c>
      <c r="B23" s="28" t="s">
        <v>64</v>
      </c>
      <c r="C23" s="29">
        <v>46146</v>
      </c>
      <c r="D23" s="29">
        <v>46150</v>
      </c>
      <c r="E23" s="30">
        <v>32</v>
      </c>
      <c r="F23" s="31">
        <f t="shared" si="0"/>
        <v>1863.7493750000001</v>
      </c>
      <c r="G23" s="30">
        <v>59639.98</v>
      </c>
      <c r="H23" s="32">
        <v>46500</v>
      </c>
      <c r="I23" s="33">
        <f t="shared" ref="I23:I57" si="14">IF(OR(G23="",H23=""),"",G23/H23)</f>
        <v>1.2825802150537635</v>
      </c>
      <c r="J23" s="30">
        <v>21028</v>
      </c>
      <c r="K23" s="33">
        <f>IF(OR(G23="",J23=""),"",G23/J23-1)</f>
        <v>1.8362174243865326</v>
      </c>
      <c r="L23" s="30"/>
      <c r="M23" s="30">
        <v>7</v>
      </c>
      <c r="N23" s="30">
        <v>19221.259999999998</v>
      </c>
      <c r="O23" s="33" t="str">
        <f>IF(OR(L23="",L23=0,M23=""),"",M23/L23)</f>
        <v/>
      </c>
      <c r="P23" s="30">
        <v>35407</v>
      </c>
      <c r="Q23" s="30">
        <v>22</v>
      </c>
      <c r="R23" s="30"/>
      <c r="S23" s="30"/>
      <c r="T23" s="33" t="str">
        <f t="shared" si="4"/>
        <v/>
      </c>
      <c r="U23" s="33" t="str">
        <f t="shared" si="5"/>
        <v/>
      </c>
      <c r="V23" s="30"/>
      <c r="W23" s="30"/>
      <c r="X23" s="31" t="str">
        <f t="shared" si="6"/>
        <v/>
      </c>
      <c r="Y23" s="30"/>
      <c r="Z23" s="30"/>
      <c r="AA23" s="36" t="str">
        <f t="shared" si="7"/>
        <v/>
      </c>
      <c r="AB23" s="30">
        <v>53</v>
      </c>
      <c r="AC23" s="30">
        <v>15.07</v>
      </c>
      <c r="AD23" s="34"/>
      <c r="AE23" s="30"/>
      <c r="AF23" s="33">
        <f t="shared" si="8"/>
        <v>0</v>
      </c>
      <c r="AG23" s="30"/>
      <c r="AH23" s="33" t="str">
        <f t="shared" si="11"/>
        <v/>
      </c>
      <c r="AI23" s="31" t="str">
        <f t="shared" si="10"/>
        <v/>
      </c>
      <c r="AJ23" s="35"/>
      <c r="AK23" s="28" t="s">
        <v>5</v>
      </c>
      <c r="AL23" s="28"/>
      <c r="AM23" s="28"/>
    </row>
    <row r="24" spans="1:39" x14ac:dyDescent="0.25">
      <c r="A24" s="28">
        <v>20</v>
      </c>
      <c r="B24" s="28" t="s">
        <v>64</v>
      </c>
      <c r="C24" s="29">
        <v>46153</v>
      </c>
      <c r="D24" s="29">
        <v>46157</v>
      </c>
      <c r="E24" s="30">
        <v>19</v>
      </c>
      <c r="F24" s="31">
        <f t="shared" si="0"/>
        <v>1027.04</v>
      </c>
      <c r="G24" s="30">
        <v>19513.759999999998</v>
      </c>
      <c r="H24" s="32">
        <v>46500</v>
      </c>
      <c r="I24" s="33">
        <f t="shared" si="14"/>
        <v>0.41965075268817204</v>
      </c>
      <c r="J24" s="30">
        <v>46867</v>
      </c>
      <c r="K24" s="33">
        <f>IF(OR(G24="",J24=""),"",G24/J24-1)</f>
        <v>-0.58363539377387075</v>
      </c>
      <c r="L24" s="30">
        <v>11</v>
      </c>
      <c r="M24" s="30">
        <v>4</v>
      </c>
      <c r="N24" s="30">
        <v>3715.56</v>
      </c>
      <c r="O24" s="33">
        <f>IF(OR(L24="",L24=0,M24=""),"",M24/L24)</f>
        <v>0.36363636363636365</v>
      </c>
      <c r="P24" s="30">
        <v>38803</v>
      </c>
      <c r="Q24" s="30">
        <v>25</v>
      </c>
      <c r="R24" s="30">
        <v>12</v>
      </c>
      <c r="S24" s="30">
        <v>24321</v>
      </c>
      <c r="T24" s="33">
        <f t="shared" si="4"/>
        <v>0.13636363636363635</v>
      </c>
      <c r="U24" s="33">
        <f t="shared" si="5"/>
        <v>0.68421052631578949</v>
      </c>
      <c r="V24" s="30">
        <v>13</v>
      </c>
      <c r="W24" s="30"/>
      <c r="X24" s="31">
        <f>IF(OR(Y24="",Y24=0,Z24=""),"",Z24/Y24)</f>
        <v>1951.5454545454545</v>
      </c>
      <c r="Y24" s="30">
        <v>88</v>
      </c>
      <c r="Z24" s="30">
        <v>171736</v>
      </c>
      <c r="AA24" s="36">
        <f t="shared" si="7"/>
        <v>3.8163555555555555</v>
      </c>
      <c r="AB24" s="30">
        <v>57</v>
      </c>
      <c r="AC24" s="30">
        <v>14.22</v>
      </c>
      <c r="AD24" s="34">
        <v>2.3199999999999998E-2</v>
      </c>
      <c r="AE24" s="30">
        <v>4</v>
      </c>
      <c r="AF24" s="33">
        <f t="shared" si="8"/>
        <v>7.0175438596491224E-2</v>
      </c>
      <c r="AG24" s="30">
        <v>22</v>
      </c>
      <c r="AH24" s="33">
        <f t="shared" si="11"/>
        <v>0.38596491228070173</v>
      </c>
      <c r="AI24" s="31">
        <f t="shared" si="10"/>
        <v>35</v>
      </c>
      <c r="AJ24" s="35"/>
      <c r="AK24" s="28" t="s">
        <v>5</v>
      </c>
      <c r="AL24" s="28"/>
      <c r="AM24" s="28"/>
    </row>
    <row r="25" spans="1:39" x14ac:dyDescent="0.25">
      <c r="A25" s="28">
        <v>21</v>
      </c>
      <c r="B25" s="28" t="s">
        <v>64</v>
      </c>
      <c r="C25" s="29">
        <v>46160</v>
      </c>
      <c r="D25" s="29">
        <v>46164</v>
      </c>
      <c r="E25" s="30">
        <v>27</v>
      </c>
      <c r="F25" s="31">
        <f t="shared" si="0"/>
        <v>1361.97</v>
      </c>
      <c r="G25" s="30">
        <v>36773.19</v>
      </c>
      <c r="H25" s="32">
        <v>46500</v>
      </c>
      <c r="I25" s="33">
        <f t="shared" si="14"/>
        <v>0.79082129032258075</v>
      </c>
      <c r="J25" s="30">
        <v>62192</v>
      </c>
      <c r="K25" s="33">
        <f t="shared" ref="K25:K57" si="15">IF(OR(G25="",J25=""),"",G25/J25-1)</f>
        <v>-0.40871510805248257</v>
      </c>
      <c r="L25" s="30">
        <v>14</v>
      </c>
      <c r="M25" s="30">
        <v>3</v>
      </c>
      <c r="N25" s="30">
        <v>5918.79</v>
      </c>
      <c r="O25" s="33">
        <f>IF(OR(L25="",L25=0,M25=""),"",M25/L25)</f>
        <v>0.21428571428571427</v>
      </c>
      <c r="P25" s="30">
        <v>42766</v>
      </c>
      <c r="Q25" s="30">
        <v>32</v>
      </c>
      <c r="R25" s="30">
        <v>2</v>
      </c>
      <c r="S25" s="30">
        <v>1992.15</v>
      </c>
      <c r="T25" s="33">
        <f t="shared" si="4"/>
        <v>2.3529411764705882E-2</v>
      </c>
      <c r="U25" s="33">
        <f t="shared" si="5"/>
        <v>0.29629629629629628</v>
      </c>
      <c r="V25" s="30">
        <v>8</v>
      </c>
      <c r="W25" s="30">
        <v>1</v>
      </c>
      <c r="X25" s="31">
        <f t="shared" si="6"/>
        <v>2058.7860000000001</v>
      </c>
      <c r="Y25" s="30">
        <v>85</v>
      </c>
      <c r="Z25" s="30">
        <v>174996.81</v>
      </c>
      <c r="AA25" s="36">
        <f t="shared" si="7"/>
        <v>3.8888180000000001</v>
      </c>
      <c r="AB25" s="30">
        <v>46</v>
      </c>
      <c r="AC25" s="30">
        <v>13.05</v>
      </c>
      <c r="AD25" s="34">
        <v>3.1699999999999999E-2</v>
      </c>
      <c r="AE25" s="30">
        <v>2</v>
      </c>
      <c r="AF25" s="33">
        <f t="shared" si="8"/>
        <v>4.3478260869565216E-2</v>
      </c>
      <c r="AG25" s="30">
        <v>16</v>
      </c>
      <c r="AH25" s="33">
        <f t="shared" si="11"/>
        <v>0.34782608695652173</v>
      </c>
      <c r="AI25" s="31">
        <f t="shared" si="10"/>
        <v>30</v>
      </c>
      <c r="AJ25" s="35"/>
      <c r="AK25" s="28" t="s">
        <v>5</v>
      </c>
      <c r="AL25" s="28"/>
      <c r="AM25" s="28"/>
    </row>
    <row r="26" spans="1:39" ht="60" x14ac:dyDescent="0.25">
      <c r="A26" s="28">
        <v>22</v>
      </c>
      <c r="B26" s="28" t="s">
        <v>64</v>
      </c>
      <c r="C26" s="29">
        <v>46167</v>
      </c>
      <c r="D26" s="29">
        <v>46171</v>
      </c>
      <c r="E26" s="30">
        <v>30</v>
      </c>
      <c r="F26" s="31">
        <f t="shared" si="0"/>
        <v>1738.9146666666668</v>
      </c>
      <c r="G26" s="30">
        <v>52167.44</v>
      </c>
      <c r="H26" s="32">
        <v>46500</v>
      </c>
      <c r="I26" s="33">
        <f t="shared" si="14"/>
        <v>1.1218804301075269</v>
      </c>
      <c r="J26" s="30">
        <f>51666.71+38795</f>
        <v>90461.709999999992</v>
      </c>
      <c r="K26" s="33">
        <f t="shared" si="15"/>
        <v>-0.42332020918021551</v>
      </c>
      <c r="L26" s="30">
        <v>9</v>
      </c>
      <c r="M26" s="30">
        <v>4</v>
      </c>
      <c r="N26" s="30">
        <v>11084.3</v>
      </c>
      <c r="O26" s="33">
        <f t="shared" si="3"/>
        <v>0.44444444444444442</v>
      </c>
      <c r="P26" s="30">
        <v>83844</v>
      </c>
      <c r="Q26" s="30">
        <v>41</v>
      </c>
      <c r="R26" s="30">
        <v>5</v>
      </c>
      <c r="S26" s="30">
        <v>4029.66</v>
      </c>
      <c r="T26" s="33">
        <f t="shared" si="4"/>
        <v>6.7567567567567571E-2</v>
      </c>
      <c r="U26" s="33">
        <f t="shared" si="5"/>
        <v>0.23333333333333334</v>
      </c>
      <c r="V26" s="30">
        <v>7</v>
      </c>
      <c r="W26" s="30">
        <v>3</v>
      </c>
      <c r="X26" s="31">
        <f t="shared" si="6"/>
        <v>1945.2224324324322</v>
      </c>
      <c r="Y26" s="30">
        <v>74</v>
      </c>
      <c r="Z26" s="30">
        <v>143946.46</v>
      </c>
      <c r="AA26" s="36">
        <f t="shared" si="7"/>
        <v>3.1988102222222219</v>
      </c>
      <c r="AB26" s="30"/>
      <c r="AC26" s="30"/>
      <c r="AD26" s="34"/>
      <c r="AE26" s="30"/>
      <c r="AF26" s="33" t="str">
        <f t="shared" si="8"/>
        <v/>
      </c>
      <c r="AG26" s="30"/>
      <c r="AH26" s="33" t="str">
        <f t="shared" si="11"/>
        <v/>
      </c>
      <c r="AI26" s="31" t="str">
        <f t="shared" si="10"/>
        <v/>
      </c>
      <c r="AJ26" s="35"/>
      <c r="AK26" s="28" t="s">
        <v>5</v>
      </c>
      <c r="AL26" s="28" t="s">
        <v>65</v>
      </c>
      <c r="AM26" s="28"/>
    </row>
    <row r="27" spans="1:39" x14ac:dyDescent="0.25">
      <c r="A27" s="28">
        <v>23</v>
      </c>
      <c r="B27" s="28" t="s">
        <v>66</v>
      </c>
      <c r="C27" s="29">
        <v>46174</v>
      </c>
      <c r="D27" s="29">
        <v>46178</v>
      </c>
      <c r="E27" s="30">
        <v>22</v>
      </c>
      <c r="F27" s="31">
        <f t="shared" si="0"/>
        <v>1487.6818181818182</v>
      </c>
      <c r="G27" s="30">
        <v>32729</v>
      </c>
      <c r="H27" s="32">
        <v>46500</v>
      </c>
      <c r="I27" s="33">
        <f t="shared" si="14"/>
        <v>0.70384946236559143</v>
      </c>
      <c r="J27" s="30">
        <v>53918</v>
      </c>
      <c r="K27" s="33">
        <f t="shared" si="15"/>
        <v>-0.39298564486813314</v>
      </c>
      <c r="L27" s="30">
        <v>19</v>
      </c>
      <c r="M27" s="30">
        <v>2</v>
      </c>
      <c r="N27" s="30">
        <v>4463</v>
      </c>
      <c r="O27" s="33">
        <f t="shared" si="3"/>
        <v>0.10526315789473684</v>
      </c>
      <c r="P27" s="30">
        <v>33317</v>
      </c>
      <c r="Q27" s="30">
        <v>19</v>
      </c>
      <c r="R27" s="30">
        <v>1</v>
      </c>
      <c r="S27" s="30">
        <v>1638</v>
      </c>
      <c r="T27" s="33">
        <f t="shared" si="4"/>
        <v>1.3157894736842105E-2</v>
      </c>
      <c r="U27" s="33">
        <f>IF(OR(E27="",E27=0,V27=""),"",V27/E27)</f>
        <v>0.40909090909090912</v>
      </c>
      <c r="V27" s="30">
        <v>9</v>
      </c>
      <c r="W27" s="30">
        <v>1</v>
      </c>
      <c r="X27" s="31">
        <f t="shared" si="6"/>
        <v>1805.5657894736842</v>
      </c>
      <c r="Y27" s="30">
        <v>76</v>
      </c>
      <c r="Z27" s="30">
        <v>137223</v>
      </c>
      <c r="AA27" s="36">
        <f t="shared" si="7"/>
        <v>3.0493999999999999</v>
      </c>
      <c r="AB27" s="30"/>
      <c r="AC27" s="30"/>
      <c r="AD27" s="34"/>
      <c r="AE27" s="30"/>
      <c r="AF27" s="33" t="str">
        <f t="shared" si="8"/>
        <v/>
      </c>
      <c r="AG27" s="30"/>
      <c r="AH27" s="33" t="str">
        <f t="shared" si="11"/>
        <v/>
      </c>
      <c r="AI27" s="31" t="str">
        <f t="shared" si="10"/>
        <v/>
      </c>
      <c r="AJ27" s="35"/>
      <c r="AK27" s="28"/>
      <c r="AL27" s="28"/>
      <c r="AM27" s="28"/>
    </row>
    <row r="28" spans="1:39" x14ac:dyDescent="0.25">
      <c r="A28" s="28">
        <v>24</v>
      </c>
      <c r="B28" s="28" t="s">
        <v>66</v>
      </c>
      <c r="C28" s="29">
        <v>46181</v>
      </c>
      <c r="D28" s="29">
        <v>46185</v>
      </c>
      <c r="E28" s="30">
        <v>26</v>
      </c>
      <c r="F28" s="31">
        <f t="shared" si="0"/>
        <v>1285</v>
      </c>
      <c r="G28" s="30">
        <v>33410</v>
      </c>
      <c r="H28" s="32">
        <v>46500</v>
      </c>
      <c r="I28" s="33">
        <f t="shared" si="14"/>
        <v>0.71849462365591399</v>
      </c>
      <c r="J28" s="30">
        <v>53947</v>
      </c>
      <c r="K28" s="33">
        <f t="shared" si="15"/>
        <v>-0.38068845348212133</v>
      </c>
      <c r="L28" s="30">
        <v>14</v>
      </c>
      <c r="M28" s="30">
        <v>6</v>
      </c>
      <c r="N28" s="30">
        <v>11686</v>
      </c>
      <c r="O28" s="33">
        <f t="shared" si="3"/>
        <v>0.42857142857142855</v>
      </c>
      <c r="P28" s="30">
        <v>33162</v>
      </c>
      <c r="Q28" s="30">
        <v>24</v>
      </c>
      <c r="R28" s="30">
        <v>2</v>
      </c>
      <c r="S28" s="30">
        <v>13691</v>
      </c>
      <c r="T28" s="33">
        <f t="shared" si="4"/>
        <v>2.5000000000000001E-2</v>
      </c>
      <c r="U28" s="33" t="str">
        <f t="shared" si="5"/>
        <v/>
      </c>
      <c r="V28" s="30"/>
      <c r="W28" s="30">
        <v>5</v>
      </c>
      <c r="X28" s="31">
        <f t="shared" si="6"/>
        <v>1831.9875</v>
      </c>
      <c r="Y28" s="30">
        <v>80</v>
      </c>
      <c r="Z28" s="30">
        <v>146559</v>
      </c>
      <c r="AA28" s="36">
        <f t="shared" si="7"/>
        <v>3.2568666666666668</v>
      </c>
      <c r="AB28" s="30"/>
      <c r="AC28" s="30"/>
      <c r="AD28" s="34"/>
      <c r="AE28" s="30"/>
      <c r="AF28" s="33" t="str">
        <f t="shared" si="8"/>
        <v/>
      </c>
      <c r="AG28" s="30"/>
      <c r="AH28" s="33" t="str">
        <f t="shared" si="11"/>
        <v/>
      </c>
      <c r="AI28" s="31" t="str">
        <f t="shared" si="10"/>
        <v/>
      </c>
      <c r="AJ28" s="35"/>
      <c r="AK28" s="28"/>
      <c r="AL28" s="28"/>
      <c r="AM28" s="28"/>
    </row>
    <row r="29" spans="1:39" x14ac:dyDescent="0.25">
      <c r="A29" s="28">
        <v>25</v>
      </c>
      <c r="B29" s="28" t="s">
        <v>66</v>
      </c>
      <c r="C29" s="29">
        <v>46188</v>
      </c>
      <c r="D29" s="29">
        <v>46192</v>
      </c>
      <c r="E29" s="30">
        <v>28</v>
      </c>
      <c r="F29" s="31">
        <f t="shared" si="0"/>
        <v>1650</v>
      </c>
      <c r="G29" s="30">
        <v>46200</v>
      </c>
      <c r="H29" s="32">
        <v>46500</v>
      </c>
      <c r="I29" s="33">
        <f t="shared" si="14"/>
        <v>0.99354838709677418</v>
      </c>
      <c r="J29" s="30">
        <v>59204</v>
      </c>
      <c r="K29" s="33">
        <f t="shared" si="15"/>
        <v>-0.21964732112695085</v>
      </c>
      <c r="L29" s="30">
        <v>16</v>
      </c>
      <c r="M29" s="30">
        <v>7</v>
      </c>
      <c r="N29" s="30">
        <v>12035</v>
      </c>
      <c r="O29" s="33">
        <f t="shared" si="3"/>
        <v>0.4375</v>
      </c>
      <c r="P29" s="30">
        <v>27332</v>
      </c>
      <c r="Q29" s="30">
        <v>29</v>
      </c>
      <c r="R29" s="30">
        <v>3</v>
      </c>
      <c r="S29" s="30">
        <v>5017</v>
      </c>
      <c r="T29" s="33">
        <f t="shared" si="4"/>
        <v>3.8461538461538464E-2</v>
      </c>
      <c r="U29" s="33" t="str">
        <f t="shared" si="5"/>
        <v/>
      </c>
      <c r="V29" s="30"/>
      <c r="W29" s="30">
        <v>1</v>
      </c>
      <c r="X29" s="31">
        <f t="shared" si="6"/>
        <v>1986.3333333333333</v>
      </c>
      <c r="Y29" s="30">
        <v>78</v>
      </c>
      <c r="Z29" s="30">
        <v>154934</v>
      </c>
      <c r="AA29" s="36">
        <f t="shared" si="7"/>
        <v>3.4429777777777777</v>
      </c>
      <c r="AB29" s="30"/>
      <c r="AC29" s="30"/>
      <c r="AD29" s="34"/>
      <c r="AE29" s="30"/>
      <c r="AF29" s="33" t="str">
        <f t="shared" si="8"/>
        <v/>
      </c>
      <c r="AG29" s="30"/>
      <c r="AH29" s="33" t="str">
        <f t="shared" si="11"/>
        <v/>
      </c>
      <c r="AI29" s="31" t="str">
        <f t="shared" si="10"/>
        <v/>
      </c>
      <c r="AJ29" s="35"/>
      <c r="AK29" s="28"/>
      <c r="AL29" s="28"/>
      <c r="AM29" s="28"/>
    </row>
    <row r="30" spans="1:39" x14ac:dyDescent="0.25">
      <c r="A30" s="28">
        <v>26</v>
      </c>
      <c r="B30" s="28" t="s">
        <v>66</v>
      </c>
      <c r="C30" s="29">
        <v>46195</v>
      </c>
      <c r="D30" s="29">
        <v>46199</v>
      </c>
      <c r="E30" s="30">
        <v>16</v>
      </c>
      <c r="F30" s="31">
        <f t="shared" si="0"/>
        <v>1250</v>
      </c>
      <c r="G30" s="30">
        <v>20000</v>
      </c>
      <c r="H30" s="32">
        <v>46500</v>
      </c>
      <c r="I30" s="33">
        <f t="shared" si="14"/>
        <v>0.43010752688172044</v>
      </c>
      <c r="J30" s="30">
        <v>36240</v>
      </c>
      <c r="K30" s="33">
        <f t="shared" si="15"/>
        <v>-0.44812362030905073</v>
      </c>
      <c r="L30" s="30">
        <v>17</v>
      </c>
      <c r="M30" s="30">
        <v>5</v>
      </c>
      <c r="N30" s="30">
        <v>5577</v>
      </c>
      <c r="O30" s="33">
        <f t="shared" si="3"/>
        <v>0.29411764705882354</v>
      </c>
      <c r="P30" s="30">
        <v>53084</v>
      </c>
      <c r="Q30" s="30">
        <v>30</v>
      </c>
      <c r="R30" s="30">
        <v>4</v>
      </c>
      <c r="S30" s="30">
        <v>9956.86</v>
      </c>
      <c r="T30" s="33">
        <f t="shared" si="4"/>
        <v>6.5573770491803282E-2</v>
      </c>
      <c r="U30" s="33">
        <f t="shared" si="5"/>
        <v>0.1875</v>
      </c>
      <c r="V30" s="30">
        <v>3</v>
      </c>
      <c r="W30" s="30">
        <v>4</v>
      </c>
      <c r="X30" s="31">
        <f t="shared" si="6"/>
        <v>2103.1475409836066</v>
      </c>
      <c r="Y30" s="30">
        <v>61</v>
      </c>
      <c r="Z30" s="30">
        <v>128292</v>
      </c>
      <c r="AA30" s="36">
        <f>IF(Z30="","",Z30/$AA$3)</f>
        <v>2.8509333333333333</v>
      </c>
      <c r="AB30" s="30"/>
      <c r="AC30" s="30"/>
      <c r="AD30" s="34"/>
      <c r="AE30" s="30"/>
      <c r="AF30" s="33" t="str">
        <f t="shared" si="8"/>
        <v/>
      </c>
      <c r="AG30" s="30"/>
      <c r="AH30" s="33" t="str">
        <f t="shared" si="11"/>
        <v/>
      </c>
      <c r="AI30" s="31" t="str">
        <f t="shared" si="10"/>
        <v/>
      </c>
      <c r="AJ30" s="35"/>
      <c r="AK30" s="28"/>
      <c r="AL30" s="28"/>
      <c r="AM30" s="28"/>
    </row>
    <row r="31" spans="1:39" x14ac:dyDescent="0.25">
      <c r="A31" s="28">
        <v>27</v>
      </c>
      <c r="B31" s="28" t="s">
        <v>66</v>
      </c>
      <c r="C31" s="29">
        <v>46202</v>
      </c>
      <c r="D31" s="29">
        <v>46206</v>
      </c>
      <c r="E31" s="30">
        <v>29</v>
      </c>
      <c r="F31" s="31">
        <f t="shared" si="0"/>
        <v>1195.8620689655172</v>
      </c>
      <c r="G31" s="30">
        <v>34680</v>
      </c>
      <c r="H31" s="32">
        <v>46500</v>
      </c>
      <c r="I31" s="33">
        <f t="shared" si="14"/>
        <v>0.74580645161290327</v>
      </c>
      <c r="J31" s="30"/>
      <c r="K31" s="33" t="str">
        <f t="shared" si="15"/>
        <v/>
      </c>
      <c r="L31" s="30">
        <v>14</v>
      </c>
      <c r="M31" s="30">
        <v>5</v>
      </c>
      <c r="N31" s="30">
        <v>4688.38</v>
      </c>
      <c r="O31" s="33">
        <f t="shared" si="3"/>
        <v>0.35714285714285715</v>
      </c>
      <c r="P31" s="30">
        <v>48077</v>
      </c>
      <c r="Q31" s="30">
        <v>28</v>
      </c>
      <c r="R31" s="30">
        <v>3</v>
      </c>
      <c r="S31" s="30">
        <v>24163.25</v>
      </c>
      <c r="T31" s="33" t="str">
        <f t="shared" si="4"/>
        <v/>
      </c>
      <c r="U31" s="33">
        <f t="shared" si="5"/>
        <v>0.58620689655172409</v>
      </c>
      <c r="V31" s="30">
        <v>17</v>
      </c>
      <c r="W31" s="30">
        <v>0</v>
      </c>
      <c r="X31" s="31" t="str">
        <f t="shared" si="6"/>
        <v/>
      </c>
      <c r="Y31" s="30"/>
      <c r="Z31" s="30"/>
      <c r="AA31" s="36" t="str">
        <f t="shared" si="7"/>
        <v/>
      </c>
      <c r="AB31" s="30"/>
      <c r="AC31" s="30"/>
      <c r="AD31" s="34"/>
      <c r="AE31" s="30"/>
      <c r="AF31" s="33" t="str">
        <f t="shared" si="8"/>
        <v/>
      </c>
      <c r="AG31" s="30"/>
      <c r="AH31" s="33" t="str">
        <f t="shared" si="11"/>
        <v/>
      </c>
      <c r="AI31" s="31" t="str">
        <f t="shared" si="10"/>
        <v/>
      </c>
      <c r="AJ31" s="35"/>
      <c r="AK31" s="28"/>
      <c r="AL31" s="28"/>
      <c r="AM31" s="28"/>
    </row>
    <row r="32" spans="1:39" x14ac:dyDescent="0.25">
      <c r="A32" s="28">
        <v>28</v>
      </c>
      <c r="B32" s="28" t="s">
        <v>67</v>
      </c>
      <c r="C32" s="29">
        <v>46209</v>
      </c>
      <c r="D32" s="29">
        <v>46213</v>
      </c>
      <c r="E32" s="30">
        <v>16</v>
      </c>
      <c r="F32" s="31">
        <f>IF(OR(E32="",E32=0,G32=""),"",G32/E32)</f>
        <v>678.75</v>
      </c>
      <c r="G32" s="30">
        <v>10860</v>
      </c>
      <c r="H32" s="32">
        <v>46500</v>
      </c>
      <c r="I32" s="33">
        <f t="shared" si="14"/>
        <v>0.2335483870967742</v>
      </c>
      <c r="J32" s="30">
        <v>56101</v>
      </c>
      <c r="K32" s="33">
        <f t="shared" si="15"/>
        <v>-0.80642056291331699</v>
      </c>
      <c r="L32" s="30">
        <v>17</v>
      </c>
      <c r="M32" s="30">
        <v>1</v>
      </c>
      <c r="N32" s="30">
        <v>195</v>
      </c>
      <c r="O32" s="33">
        <f t="shared" si="3"/>
        <v>5.8823529411764705E-2</v>
      </c>
      <c r="P32" s="30">
        <v>35599</v>
      </c>
      <c r="Q32" s="30">
        <v>35</v>
      </c>
      <c r="R32" s="30">
        <v>4</v>
      </c>
      <c r="S32" s="30">
        <v>14409.92</v>
      </c>
      <c r="T32" s="33">
        <f t="shared" si="4"/>
        <v>7.8431372549019607E-2</v>
      </c>
      <c r="U32" s="33">
        <f>IF(OR(E32="",E32=0,V32=""),"",V32/E32)</f>
        <v>0.1875</v>
      </c>
      <c r="V32" s="30">
        <v>3</v>
      </c>
      <c r="W32" s="30">
        <v>3</v>
      </c>
      <c r="X32" s="31">
        <f t="shared" si="6"/>
        <v>2192.3064705882352</v>
      </c>
      <c r="Y32" s="30">
        <v>51</v>
      </c>
      <c r="Z32" s="30">
        <v>111807.63</v>
      </c>
      <c r="AA32" s="36">
        <f t="shared" si="7"/>
        <v>2.4846140000000001</v>
      </c>
      <c r="AB32" s="30"/>
      <c r="AC32" s="30"/>
      <c r="AD32" s="34"/>
      <c r="AE32" s="30"/>
      <c r="AF32" s="33" t="str">
        <f t="shared" si="8"/>
        <v/>
      </c>
      <c r="AG32" s="30"/>
      <c r="AH32" s="33" t="str">
        <f t="shared" si="11"/>
        <v/>
      </c>
      <c r="AI32" s="31" t="str">
        <f t="shared" si="10"/>
        <v/>
      </c>
      <c r="AJ32" s="35"/>
      <c r="AK32" s="28"/>
      <c r="AL32" s="28"/>
      <c r="AM32" s="28"/>
    </row>
    <row r="33" spans="1:39" x14ac:dyDescent="0.25">
      <c r="A33" s="28">
        <v>29</v>
      </c>
      <c r="B33" s="28" t="s">
        <v>67</v>
      </c>
      <c r="C33" s="29">
        <v>46216</v>
      </c>
      <c r="D33" s="29">
        <v>46220</v>
      </c>
      <c r="E33" s="30">
        <v>10</v>
      </c>
      <c r="F33" s="31">
        <f>IF(OR(E33="",E33=0,G33=""),"",G33/E33)</f>
        <v>1535</v>
      </c>
      <c r="G33" s="30">
        <v>15350</v>
      </c>
      <c r="H33" s="32">
        <v>46500</v>
      </c>
      <c r="I33" s="33">
        <f t="shared" si="14"/>
        <v>0.3301075268817204</v>
      </c>
      <c r="J33" s="30">
        <v>33072</v>
      </c>
      <c r="K33" s="33">
        <f t="shared" si="15"/>
        <v>-0.53586115142718915</v>
      </c>
      <c r="L33" s="30">
        <v>10</v>
      </c>
      <c r="M33" s="30">
        <v>5</v>
      </c>
      <c r="N33" s="30">
        <v>7029</v>
      </c>
      <c r="O33" s="33">
        <f t="shared" si="3"/>
        <v>0.5</v>
      </c>
      <c r="P33" s="30">
        <v>34407</v>
      </c>
      <c r="Q33" s="30">
        <v>18</v>
      </c>
      <c r="R33" s="30">
        <v>0</v>
      </c>
      <c r="S33" s="30"/>
      <c r="T33" s="33">
        <f t="shared" si="4"/>
        <v>0</v>
      </c>
      <c r="U33" s="33">
        <f>IF(OR(E33="",E33=0,V33=""),"",V33/E33)</f>
        <v>1.5</v>
      </c>
      <c r="V33" s="30">
        <v>15</v>
      </c>
      <c r="W33" s="30">
        <v>0</v>
      </c>
      <c r="X33" s="31">
        <f t="shared" si="6"/>
        <v>1526</v>
      </c>
      <c r="Y33" s="30">
        <v>48</v>
      </c>
      <c r="Z33" s="30">
        <v>73248</v>
      </c>
      <c r="AA33" s="36">
        <f t="shared" si="7"/>
        <v>1.6277333333333333</v>
      </c>
      <c r="AB33" s="30"/>
      <c r="AC33" s="30"/>
      <c r="AD33" s="34"/>
      <c r="AE33" s="30"/>
      <c r="AF33" s="33" t="str">
        <f t="shared" si="8"/>
        <v/>
      </c>
      <c r="AG33" s="30"/>
      <c r="AH33" s="33" t="str">
        <f t="shared" si="11"/>
        <v/>
      </c>
      <c r="AI33" s="31" t="str">
        <f t="shared" si="10"/>
        <v/>
      </c>
      <c r="AJ33" s="35"/>
      <c r="AK33" s="28"/>
      <c r="AL33" s="28"/>
      <c r="AM33" s="28"/>
    </row>
    <row r="34" spans="1:39" x14ac:dyDescent="0.25">
      <c r="A34" s="28">
        <v>30</v>
      </c>
      <c r="B34" s="28" t="s">
        <v>67</v>
      </c>
      <c r="C34" s="29">
        <v>46223</v>
      </c>
      <c r="D34" s="29">
        <v>46227</v>
      </c>
      <c r="E34" s="30">
        <v>10</v>
      </c>
      <c r="F34" s="31">
        <f>IF(OR(E34="",E34=0,G34=""),"",G34/E34)</f>
        <v>1399.5</v>
      </c>
      <c r="G34" s="30">
        <v>13995</v>
      </c>
      <c r="H34" s="32">
        <v>46500</v>
      </c>
      <c r="I34" s="33">
        <f t="shared" si="14"/>
        <v>0.30096774193548387</v>
      </c>
      <c r="J34" s="30">
        <v>29004</v>
      </c>
      <c r="K34" s="33">
        <f t="shared" si="15"/>
        <v>-0.51748034753827055</v>
      </c>
      <c r="L34" s="30">
        <v>14</v>
      </c>
      <c r="M34" s="30">
        <v>3</v>
      </c>
      <c r="N34" s="30">
        <v>5411</v>
      </c>
      <c r="O34" s="33">
        <f t="shared" si="3"/>
        <v>0.21428571428571427</v>
      </c>
      <c r="P34" s="30">
        <v>18162</v>
      </c>
      <c r="Q34" s="30">
        <v>18</v>
      </c>
      <c r="R34" s="30">
        <v>9</v>
      </c>
      <c r="S34" s="30">
        <v>31021.75</v>
      </c>
      <c r="T34" s="33">
        <f t="shared" si="4"/>
        <v>0.21951219512195122</v>
      </c>
      <c r="U34" s="33">
        <f>IF(OR(E34="",E34=0,V34=""),"",V34/E34)</f>
        <v>1</v>
      </c>
      <c r="V34" s="30">
        <v>10</v>
      </c>
      <c r="W34" s="30">
        <v>6</v>
      </c>
      <c r="X34" s="31">
        <f t="shared" si="6"/>
        <v>1681.2926829268292</v>
      </c>
      <c r="Y34" s="30">
        <v>41</v>
      </c>
      <c r="Z34" s="30">
        <v>68933</v>
      </c>
      <c r="AA34" s="36">
        <f>IF(Z34="","",Z34/$AA$3)</f>
        <v>1.5318444444444443</v>
      </c>
      <c r="AB34" s="30"/>
      <c r="AC34" s="30"/>
      <c r="AD34" s="34"/>
      <c r="AE34" s="30"/>
      <c r="AF34" s="33" t="str">
        <f t="shared" si="8"/>
        <v/>
      </c>
      <c r="AG34" s="30"/>
      <c r="AH34" s="33" t="str">
        <f t="shared" si="11"/>
        <v/>
      </c>
      <c r="AI34" s="31" t="str">
        <f t="shared" si="10"/>
        <v/>
      </c>
      <c r="AJ34" s="35"/>
      <c r="AK34" s="28"/>
      <c r="AL34" s="28"/>
      <c r="AM34" s="28"/>
    </row>
    <row r="35" spans="1:39" x14ac:dyDescent="0.25">
      <c r="A35" s="28">
        <v>31</v>
      </c>
      <c r="B35" s="28" t="s">
        <v>67</v>
      </c>
      <c r="C35" s="29">
        <v>46230</v>
      </c>
      <c r="D35" s="29">
        <v>46234</v>
      </c>
      <c r="E35" s="30">
        <v>15</v>
      </c>
      <c r="F35" s="31">
        <f>IF(OR(E35="",E35=0,G35=""),"",G35/E35)</f>
        <v>1355.3333333333333</v>
      </c>
      <c r="G35" s="30">
        <v>20330</v>
      </c>
      <c r="H35" s="32">
        <v>46500</v>
      </c>
      <c r="I35" s="33">
        <f t="shared" si="14"/>
        <v>0.43720430107526881</v>
      </c>
      <c r="J35" s="30">
        <v>61595</v>
      </c>
      <c r="K35" s="33">
        <f t="shared" si="15"/>
        <v>-0.66994074194333963</v>
      </c>
      <c r="L35" s="30"/>
      <c r="M35" s="30"/>
      <c r="N35" s="30"/>
      <c r="O35" s="33" t="str">
        <f t="shared" si="3"/>
        <v/>
      </c>
      <c r="P35" s="30"/>
      <c r="Q35" s="30"/>
      <c r="R35" s="30"/>
      <c r="S35" s="30"/>
      <c r="T35" s="33" t="str">
        <f t="shared" si="4"/>
        <v/>
      </c>
      <c r="U35" s="33" t="str">
        <f>IF(OR(E35="",E35=0,V35=""),"",V35/E35)</f>
        <v/>
      </c>
      <c r="V35" s="30"/>
      <c r="W35" s="30"/>
      <c r="X35" s="31" t="str">
        <f t="shared" si="6"/>
        <v/>
      </c>
      <c r="Y35" s="30"/>
      <c r="Z35" s="30"/>
      <c r="AA35" s="36" t="str">
        <f t="shared" si="7"/>
        <v/>
      </c>
      <c r="AB35" s="30"/>
      <c r="AC35" s="30"/>
      <c r="AD35" s="34"/>
      <c r="AE35" s="30"/>
      <c r="AF35" s="33" t="str">
        <f t="shared" si="8"/>
        <v/>
      </c>
      <c r="AG35" s="30"/>
      <c r="AH35" s="33" t="str">
        <f t="shared" si="11"/>
        <v/>
      </c>
      <c r="AI35" s="31" t="str">
        <f t="shared" si="10"/>
        <v/>
      </c>
      <c r="AJ35" s="35"/>
      <c r="AK35" s="28"/>
      <c r="AL35" s="28"/>
      <c r="AM35" s="28"/>
    </row>
    <row r="36" spans="1:39" x14ac:dyDescent="0.25">
      <c r="A36" s="28">
        <v>32</v>
      </c>
      <c r="B36" s="28" t="s">
        <v>106</v>
      </c>
      <c r="C36" s="29">
        <v>46237</v>
      </c>
      <c r="D36" s="29">
        <v>46243</v>
      </c>
      <c r="E36" s="30">
        <v>0</v>
      </c>
      <c r="F36" s="31" t="str">
        <f>IF(OR(E36="",E36=0,G36=""),"",G36/E36)</f>
        <v/>
      </c>
      <c r="G36" s="30">
        <v>0</v>
      </c>
      <c r="H36" s="32">
        <v>85000</v>
      </c>
      <c r="I36" s="33">
        <f t="shared" si="14"/>
        <v>0</v>
      </c>
      <c r="J36" s="30"/>
      <c r="K36" s="33" t="str">
        <f t="shared" si="15"/>
        <v/>
      </c>
      <c r="L36" s="30"/>
      <c r="M36" s="30"/>
      <c r="N36" s="30"/>
      <c r="O36" s="33" t="str">
        <f t="shared" si="3"/>
        <v/>
      </c>
      <c r="P36" s="30"/>
      <c r="Q36" s="30"/>
      <c r="R36" s="30"/>
      <c r="S36" s="30"/>
      <c r="T36" s="33" t="str">
        <f t="shared" si="4"/>
        <v/>
      </c>
      <c r="U36" s="33" t="str">
        <f>IF(OR(E36="",E36=0,V36=""),"",V36/E36)</f>
        <v/>
      </c>
      <c r="V36" s="30"/>
      <c r="W36" s="30"/>
      <c r="X36" s="31" t="str">
        <f t="shared" si="6"/>
        <v/>
      </c>
      <c r="Y36" s="30"/>
      <c r="Z36" s="30"/>
      <c r="AA36" s="36" t="str">
        <f t="shared" si="7"/>
        <v/>
      </c>
      <c r="AB36" s="30"/>
      <c r="AC36" s="30"/>
      <c r="AD36" s="34"/>
      <c r="AE36" s="30"/>
      <c r="AF36" s="33" t="str">
        <f t="shared" si="8"/>
        <v/>
      </c>
      <c r="AG36" s="30"/>
      <c r="AH36" s="33" t="str">
        <f t="shared" si="11"/>
        <v/>
      </c>
      <c r="AI36" s="31" t="str">
        <f t="shared" si="10"/>
        <v/>
      </c>
      <c r="AJ36" s="35"/>
      <c r="AK36" s="28"/>
      <c r="AL36" s="28"/>
      <c r="AM36" s="28"/>
    </row>
    <row r="37" spans="1:39" x14ac:dyDescent="0.25">
      <c r="A37" s="28">
        <v>33</v>
      </c>
      <c r="B37" s="28" t="s">
        <v>106</v>
      </c>
      <c r="C37" s="29">
        <v>46244</v>
      </c>
      <c r="D37" s="29">
        <v>46250</v>
      </c>
      <c r="E37" s="30">
        <v>0</v>
      </c>
      <c r="F37" s="31" t="str">
        <f t="shared" si="0"/>
        <v/>
      </c>
      <c r="G37" s="30">
        <v>0</v>
      </c>
      <c r="H37" s="32">
        <v>46500</v>
      </c>
      <c r="I37" s="33">
        <f t="shared" si="14"/>
        <v>0</v>
      </c>
      <c r="J37" s="30"/>
      <c r="K37" s="33" t="str">
        <f t="shared" si="15"/>
        <v/>
      </c>
      <c r="L37" s="30"/>
      <c r="M37" s="30"/>
      <c r="N37" s="30"/>
      <c r="O37" s="33" t="str">
        <f t="shared" si="3"/>
        <v/>
      </c>
      <c r="P37" s="30"/>
      <c r="Q37" s="30"/>
      <c r="R37" s="30"/>
      <c r="S37" s="30"/>
      <c r="T37" s="33" t="str">
        <f t="shared" ref="T37:T57" si="16">IF(OR(Y37="",Y37=0,R37=""),"",R37/Y37)</f>
        <v/>
      </c>
      <c r="U37" s="33" t="str">
        <f t="shared" ref="U37:U57" si="17">IF(OR(E37="",E37=0,V37=""),"",V37/E37)</f>
        <v/>
      </c>
      <c r="V37" s="30"/>
      <c r="W37" s="30"/>
      <c r="X37" s="31" t="str">
        <f t="shared" si="6"/>
        <v/>
      </c>
      <c r="Y37" s="30"/>
      <c r="Z37" s="30"/>
      <c r="AA37" s="36" t="str">
        <f t="shared" si="7"/>
        <v/>
      </c>
      <c r="AB37" s="30"/>
      <c r="AC37" s="30"/>
      <c r="AD37" s="34"/>
      <c r="AE37" s="30"/>
      <c r="AF37" s="33" t="str">
        <f t="shared" ref="AF37:AF57" si="18">IF(OR(AB37="",AB37=0),"",AE37/AB37)</f>
        <v/>
      </c>
      <c r="AG37" s="30"/>
      <c r="AH37" s="33" t="str">
        <f t="shared" si="11"/>
        <v/>
      </c>
      <c r="AI37" s="31" t="str">
        <f t="shared" ref="AI37:AI57" si="19">IF(OR(AB37="",AG37=""),"",AB37-AG37)</f>
        <v/>
      </c>
      <c r="AJ37" s="35"/>
      <c r="AK37" s="28"/>
      <c r="AL37" s="28"/>
      <c r="AM37" s="28"/>
    </row>
    <row r="38" spans="1:39" x14ac:dyDescent="0.25">
      <c r="A38" s="28">
        <v>34</v>
      </c>
      <c r="B38" s="28" t="s">
        <v>106</v>
      </c>
      <c r="C38" s="29">
        <v>46251</v>
      </c>
      <c r="D38" s="29">
        <v>46257</v>
      </c>
      <c r="E38" s="30">
        <v>0</v>
      </c>
      <c r="F38" s="31" t="str">
        <f t="shared" si="0"/>
        <v/>
      </c>
      <c r="G38" s="30">
        <v>0</v>
      </c>
      <c r="H38" s="32">
        <v>46500</v>
      </c>
      <c r="I38" s="33">
        <f t="shared" si="14"/>
        <v>0</v>
      </c>
      <c r="J38" s="30"/>
      <c r="K38" s="33" t="str">
        <f t="shared" si="15"/>
        <v/>
      </c>
      <c r="L38" s="30"/>
      <c r="M38" s="30"/>
      <c r="N38" s="30"/>
      <c r="O38" s="33" t="str">
        <f t="shared" si="3"/>
        <v/>
      </c>
      <c r="P38" s="30"/>
      <c r="Q38" s="30"/>
      <c r="R38" s="30"/>
      <c r="S38" s="30"/>
      <c r="T38" s="33" t="str">
        <f t="shared" si="16"/>
        <v/>
      </c>
      <c r="U38" s="33" t="str">
        <f t="shared" si="17"/>
        <v/>
      </c>
      <c r="V38" s="30"/>
      <c r="W38" s="30"/>
      <c r="X38" s="31" t="str">
        <f t="shared" si="6"/>
        <v/>
      </c>
      <c r="Y38" s="30"/>
      <c r="Z38" s="30"/>
      <c r="AA38" s="36" t="str">
        <f t="shared" ref="AA38:AA57" si="20">IF(Z38="","",Z38/$AA$3)</f>
        <v/>
      </c>
      <c r="AB38" s="30"/>
      <c r="AC38" s="30"/>
      <c r="AD38" s="34"/>
      <c r="AE38" s="30"/>
      <c r="AF38" s="33" t="str">
        <f t="shared" si="18"/>
        <v/>
      </c>
      <c r="AG38" s="30"/>
      <c r="AH38" s="33" t="str">
        <f t="shared" si="11"/>
        <v/>
      </c>
      <c r="AI38" s="31" t="str">
        <f t="shared" si="19"/>
        <v/>
      </c>
      <c r="AJ38" s="35"/>
      <c r="AK38" s="28"/>
      <c r="AL38" s="28"/>
      <c r="AM38" s="28"/>
    </row>
    <row r="39" spans="1:39" x14ac:dyDescent="0.25">
      <c r="A39" s="28">
        <v>35</v>
      </c>
      <c r="B39" s="28" t="s">
        <v>106</v>
      </c>
      <c r="C39" s="29">
        <v>46258</v>
      </c>
      <c r="D39" s="29">
        <v>46264</v>
      </c>
      <c r="E39" s="30">
        <v>0</v>
      </c>
      <c r="F39" s="31" t="str">
        <f t="shared" si="0"/>
        <v/>
      </c>
      <c r="G39" s="30">
        <v>49990</v>
      </c>
      <c r="H39" s="32">
        <v>46500</v>
      </c>
      <c r="I39" s="33">
        <f t="shared" si="14"/>
        <v>1.0750537634408601</v>
      </c>
      <c r="J39" s="30">
        <v>85514</v>
      </c>
      <c r="K39" s="33">
        <f t="shared" si="15"/>
        <v>-0.41541735856117123</v>
      </c>
      <c r="L39" s="30"/>
      <c r="M39" s="30"/>
      <c r="N39" s="30"/>
      <c r="O39" s="33" t="str">
        <f t="shared" si="3"/>
        <v/>
      </c>
      <c r="P39" s="30"/>
      <c r="Q39" s="30"/>
      <c r="R39" s="30"/>
      <c r="S39" s="30"/>
      <c r="T39" s="33" t="str">
        <f t="shared" si="16"/>
        <v/>
      </c>
      <c r="U39" s="33" t="str">
        <f t="shared" si="17"/>
        <v/>
      </c>
      <c r="V39" s="30"/>
      <c r="W39" s="30"/>
      <c r="X39" s="31" t="str">
        <f t="shared" si="6"/>
        <v/>
      </c>
      <c r="Y39" s="30"/>
      <c r="Z39" s="30"/>
      <c r="AA39" s="36" t="str">
        <f t="shared" si="20"/>
        <v/>
      </c>
      <c r="AB39" s="30"/>
      <c r="AC39" s="30"/>
      <c r="AD39" s="34"/>
      <c r="AE39" s="30"/>
      <c r="AF39" s="33" t="str">
        <f t="shared" si="18"/>
        <v/>
      </c>
      <c r="AG39" s="30"/>
      <c r="AH39" s="33" t="str">
        <f t="shared" si="11"/>
        <v/>
      </c>
      <c r="AI39" s="31" t="str">
        <f t="shared" si="19"/>
        <v/>
      </c>
      <c r="AJ39" s="35"/>
      <c r="AK39" s="28"/>
      <c r="AL39" s="28"/>
      <c r="AM39" s="28"/>
    </row>
    <row r="40" spans="1:39" ht="30" x14ac:dyDescent="0.25">
      <c r="A40" s="28">
        <v>36</v>
      </c>
      <c r="B40" s="28" t="s">
        <v>107</v>
      </c>
      <c r="C40" s="29">
        <v>46266</v>
      </c>
      <c r="D40" s="29">
        <v>46269</v>
      </c>
      <c r="E40" s="30">
        <v>27</v>
      </c>
      <c r="F40" s="31">
        <f t="shared" si="0"/>
        <v>1028.5185185185185</v>
      </c>
      <c r="G40" s="30">
        <v>27770</v>
      </c>
      <c r="H40" s="32">
        <v>46500</v>
      </c>
      <c r="I40" s="33">
        <f t="shared" si="14"/>
        <v>0.59720430107526878</v>
      </c>
      <c r="J40" s="30">
        <v>32505</v>
      </c>
      <c r="K40" s="33">
        <f t="shared" si="15"/>
        <v>-0.14566989693893251</v>
      </c>
      <c r="L40" s="30"/>
      <c r="M40" s="30"/>
      <c r="N40" s="30"/>
      <c r="O40" s="33" t="str">
        <f t="shared" si="3"/>
        <v/>
      </c>
      <c r="P40" s="30"/>
      <c r="Q40" s="30"/>
      <c r="R40" s="30"/>
      <c r="S40" s="30"/>
      <c r="T40" s="33" t="str">
        <f t="shared" si="16"/>
        <v/>
      </c>
      <c r="U40" s="33" t="str">
        <f t="shared" si="17"/>
        <v/>
      </c>
      <c r="V40" s="30"/>
      <c r="W40" s="30"/>
      <c r="X40" s="31" t="str">
        <f t="shared" si="6"/>
        <v/>
      </c>
      <c r="Y40" s="30"/>
      <c r="Z40" s="30"/>
      <c r="AA40" s="36" t="str">
        <f t="shared" si="20"/>
        <v/>
      </c>
      <c r="AB40" s="30"/>
      <c r="AC40" s="30"/>
      <c r="AD40" s="34"/>
      <c r="AE40" s="30"/>
      <c r="AF40" s="33" t="str">
        <f t="shared" si="18"/>
        <v/>
      </c>
      <c r="AG40" s="30"/>
      <c r="AH40" s="33" t="str">
        <f t="shared" si="11"/>
        <v/>
      </c>
      <c r="AI40" s="31" t="str">
        <f t="shared" si="19"/>
        <v/>
      </c>
      <c r="AJ40" s="35"/>
      <c r="AK40" s="28"/>
      <c r="AL40" s="28"/>
      <c r="AM40" s="28"/>
    </row>
    <row r="41" spans="1:39" ht="30" x14ac:dyDescent="0.25">
      <c r="A41" s="28">
        <v>37</v>
      </c>
      <c r="B41" s="28" t="s">
        <v>107</v>
      </c>
      <c r="C41" s="29">
        <v>46272</v>
      </c>
      <c r="D41" s="29">
        <v>46276</v>
      </c>
      <c r="E41" s="30">
        <v>16</v>
      </c>
      <c r="F41" s="31">
        <f t="shared" si="0"/>
        <v>945.625</v>
      </c>
      <c r="G41" s="30">
        <v>15130</v>
      </c>
      <c r="H41" s="32">
        <v>46500</v>
      </c>
      <c r="I41" s="33">
        <f t="shared" si="14"/>
        <v>0.32537634408602151</v>
      </c>
      <c r="J41" s="30">
        <v>56835</v>
      </c>
      <c r="K41" s="33">
        <f t="shared" si="15"/>
        <v>-0.73379079792381452</v>
      </c>
      <c r="L41" s="30"/>
      <c r="M41" s="30"/>
      <c r="N41" s="30"/>
      <c r="O41" s="33" t="str">
        <f t="shared" si="3"/>
        <v/>
      </c>
      <c r="P41" s="30"/>
      <c r="Q41" s="30"/>
      <c r="R41" s="30"/>
      <c r="S41" s="30"/>
      <c r="T41" s="33" t="str">
        <f t="shared" si="16"/>
        <v/>
      </c>
      <c r="U41" s="33" t="str">
        <f t="shared" si="17"/>
        <v/>
      </c>
      <c r="V41" s="30"/>
      <c r="W41" s="30"/>
      <c r="X41" s="31" t="str">
        <f t="shared" si="6"/>
        <v/>
      </c>
      <c r="Y41" s="30"/>
      <c r="Z41" s="30"/>
      <c r="AA41" s="36" t="str">
        <f t="shared" si="20"/>
        <v/>
      </c>
      <c r="AB41" s="30"/>
      <c r="AC41" s="30"/>
      <c r="AD41" s="34"/>
      <c r="AE41" s="30"/>
      <c r="AF41" s="33" t="str">
        <f t="shared" si="18"/>
        <v/>
      </c>
      <c r="AG41" s="30"/>
      <c r="AH41" s="33" t="str">
        <f t="shared" si="11"/>
        <v/>
      </c>
      <c r="AI41" s="31" t="str">
        <f t="shared" si="19"/>
        <v/>
      </c>
      <c r="AJ41" s="35"/>
      <c r="AK41" s="28"/>
      <c r="AL41" s="28"/>
      <c r="AM41" s="28"/>
    </row>
    <row r="42" spans="1:39" ht="30" x14ac:dyDescent="0.25">
      <c r="A42" s="28">
        <v>38</v>
      </c>
      <c r="B42" s="28" t="s">
        <v>107</v>
      </c>
      <c r="C42" s="29">
        <v>46279</v>
      </c>
      <c r="D42" s="29">
        <v>46283</v>
      </c>
      <c r="E42" s="30">
        <v>22</v>
      </c>
      <c r="F42" s="31">
        <f t="shared" si="0"/>
        <v>1483.6363636363637</v>
      </c>
      <c r="G42" s="30">
        <v>32640</v>
      </c>
      <c r="H42" s="32">
        <v>46500</v>
      </c>
      <c r="I42" s="33">
        <f t="shared" si="14"/>
        <v>0.70193548387096771</v>
      </c>
      <c r="J42" s="30">
        <v>55340</v>
      </c>
      <c r="K42" s="33">
        <f t="shared" si="15"/>
        <v>-0.41019154318756779</v>
      </c>
      <c r="L42" s="30"/>
      <c r="M42" s="30"/>
      <c r="N42" s="30"/>
      <c r="O42" s="33" t="str">
        <f t="shared" si="3"/>
        <v/>
      </c>
      <c r="P42" s="30"/>
      <c r="Q42" s="30"/>
      <c r="R42" s="30"/>
      <c r="S42" s="30"/>
      <c r="T42" s="33" t="str">
        <f t="shared" si="16"/>
        <v/>
      </c>
      <c r="U42" s="33" t="str">
        <f t="shared" si="17"/>
        <v/>
      </c>
      <c r="V42" s="30"/>
      <c r="W42" s="30"/>
      <c r="X42" s="31" t="str">
        <f t="shared" si="6"/>
        <v/>
      </c>
      <c r="Y42" s="30"/>
      <c r="Z42" s="30"/>
      <c r="AA42" s="36" t="str">
        <f t="shared" si="20"/>
        <v/>
      </c>
      <c r="AB42" s="30"/>
      <c r="AC42" s="30"/>
      <c r="AD42" s="34"/>
      <c r="AE42" s="30"/>
      <c r="AF42" s="33" t="str">
        <f t="shared" si="18"/>
        <v/>
      </c>
      <c r="AG42" s="30"/>
      <c r="AH42" s="33" t="str">
        <f t="shared" si="11"/>
        <v/>
      </c>
      <c r="AI42" s="31" t="str">
        <f t="shared" si="19"/>
        <v/>
      </c>
      <c r="AJ42" s="35"/>
      <c r="AK42" s="28"/>
      <c r="AL42" s="28"/>
      <c r="AM42" s="28"/>
    </row>
    <row r="43" spans="1:39" ht="30" x14ac:dyDescent="0.25">
      <c r="A43" s="28">
        <v>39</v>
      </c>
      <c r="B43" s="28" t="s">
        <v>107</v>
      </c>
      <c r="C43" s="29">
        <v>46286</v>
      </c>
      <c r="D43" s="29">
        <v>46290</v>
      </c>
      <c r="E43" s="30">
        <v>18</v>
      </c>
      <c r="F43" s="31">
        <f t="shared" si="0"/>
        <v>980.27777777777783</v>
      </c>
      <c r="G43" s="30">
        <v>17645</v>
      </c>
      <c r="H43" s="32">
        <v>46500</v>
      </c>
      <c r="I43" s="33">
        <f t="shared" si="14"/>
        <v>0.37946236559139784</v>
      </c>
      <c r="J43" s="30">
        <v>56835</v>
      </c>
      <c r="K43" s="33">
        <f t="shared" si="15"/>
        <v>-0.68953989619072753</v>
      </c>
      <c r="L43" s="30">
        <v>21</v>
      </c>
      <c r="M43" s="30">
        <v>2</v>
      </c>
      <c r="N43" s="30">
        <v>1717</v>
      </c>
      <c r="O43" s="33">
        <f t="shared" si="3"/>
        <v>9.5238095238095233E-2</v>
      </c>
      <c r="P43" s="30">
        <v>13101</v>
      </c>
      <c r="Q43" s="30">
        <v>15</v>
      </c>
      <c r="R43" s="30"/>
      <c r="S43" s="30"/>
      <c r="T43" s="33" t="str">
        <f t="shared" si="16"/>
        <v/>
      </c>
      <c r="U43" s="33" t="str">
        <f t="shared" si="17"/>
        <v/>
      </c>
      <c r="V43" s="30"/>
      <c r="W43" s="30"/>
      <c r="X43" s="31" t="str">
        <f t="shared" si="6"/>
        <v/>
      </c>
      <c r="Y43" s="30"/>
      <c r="Z43" s="30"/>
      <c r="AA43" s="36" t="str">
        <f t="shared" si="20"/>
        <v/>
      </c>
      <c r="AB43" s="30"/>
      <c r="AC43" s="30"/>
      <c r="AD43" s="34"/>
      <c r="AE43" s="30"/>
      <c r="AF43" s="33" t="str">
        <f t="shared" si="18"/>
        <v/>
      </c>
      <c r="AG43" s="30"/>
      <c r="AH43" s="33" t="str">
        <f t="shared" si="11"/>
        <v/>
      </c>
      <c r="AI43" s="31" t="str">
        <f t="shared" si="19"/>
        <v/>
      </c>
      <c r="AJ43" s="35"/>
      <c r="AK43" s="28"/>
      <c r="AL43" s="28"/>
      <c r="AM43" s="28"/>
    </row>
    <row r="44" spans="1:39" ht="30" x14ac:dyDescent="0.25">
      <c r="A44" s="28">
        <v>40</v>
      </c>
      <c r="B44" s="28" t="s">
        <v>107</v>
      </c>
      <c r="C44" s="29">
        <v>46293</v>
      </c>
      <c r="D44" s="29">
        <v>46297</v>
      </c>
      <c r="E44" s="30">
        <v>26</v>
      </c>
      <c r="F44" s="31">
        <f t="shared" si="0"/>
        <v>1747.6923076923076</v>
      </c>
      <c r="G44" s="30">
        <v>45440</v>
      </c>
      <c r="H44" s="32">
        <v>46500</v>
      </c>
      <c r="I44" s="33">
        <f t="shared" si="14"/>
        <v>0.97720430107526879</v>
      </c>
      <c r="J44" s="30"/>
      <c r="K44" s="33" t="str">
        <f t="shared" si="15"/>
        <v/>
      </c>
      <c r="L44" s="30">
        <v>6</v>
      </c>
      <c r="M44" s="30">
        <v>1</v>
      </c>
      <c r="N44" s="30">
        <v>1343</v>
      </c>
      <c r="O44" s="33">
        <f t="shared" si="3"/>
        <v>0.16666666666666666</v>
      </c>
      <c r="P44" s="30">
        <v>52836</v>
      </c>
      <c r="Q44" s="30">
        <v>38</v>
      </c>
      <c r="R44" s="30"/>
      <c r="S44" s="30"/>
      <c r="T44" s="33" t="str">
        <f t="shared" si="16"/>
        <v/>
      </c>
      <c r="U44" s="33" t="str">
        <f t="shared" si="17"/>
        <v/>
      </c>
      <c r="V44" s="30"/>
      <c r="W44" s="30"/>
      <c r="X44" s="31" t="str">
        <f t="shared" si="6"/>
        <v/>
      </c>
      <c r="Y44" s="30"/>
      <c r="Z44" s="30"/>
      <c r="AA44" s="36" t="str">
        <f t="shared" si="20"/>
        <v/>
      </c>
      <c r="AB44" s="30"/>
      <c r="AC44" s="30"/>
      <c r="AD44" s="34"/>
      <c r="AE44" s="30"/>
      <c r="AF44" s="33" t="str">
        <f t="shared" si="18"/>
        <v/>
      </c>
      <c r="AG44" s="30"/>
      <c r="AH44" s="33" t="str">
        <f t="shared" si="11"/>
        <v/>
      </c>
      <c r="AI44" s="31" t="str">
        <f t="shared" si="19"/>
        <v/>
      </c>
      <c r="AJ44" s="35"/>
      <c r="AK44" s="28"/>
      <c r="AL44" s="28"/>
      <c r="AM44" s="28"/>
    </row>
    <row r="45" spans="1:39" x14ac:dyDescent="0.25">
      <c r="A45" s="28">
        <v>41</v>
      </c>
      <c r="B45" s="28" t="s">
        <v>108</v>
      </c>
      <c r="C45" s="29">
        <v>46300</v>
      </c>
      <c r="D45" s="29">
        <v>46303</v>
      </c>
      <c r="E45" s="30">
        <v>12</v>
      </c>
      <c r="F45" s="31">
        <f t="shared" si="0"/>
        <v>1658.75</v>
      </c>
      <c r="G45" s="30">
        <v>19905</v>
      </c>
      <c r="H45" s="32">
        <v>46500</v>
      </c>
      <c r="I45" s="33">
        <f t="shared" si="14"/>
        <v>0.42806451612903224</v>
      </c>
      <c r="J45" s="30">
        <f>176295/4</f>
        <v>44073.75</v>
      </c>
      <c r="K45" s="33">
        <f t="shared" si="15"/>
        <v>-0.54837062877563181</v>
      </c>
      <c r="L45" s="30">
        <v>9</v>
      </c>
      <c r="M45" s="30">
        <v>3</v>
      </c>
      <c r="N45" s="30">
        <v>3373</v>
      </c>
      <c r="O45" s="33">
        <f t="shared" si="3"/>
        <v>0.33333333333333331</v>
      </c>
      <c r="P45" s="30">
        <v>18677</v>
      </c>
      <c r="Q45" s="30">
        <v>16</v>
      </c>
      <c r="R45" s="30"/>
      <c r="S45" s="30"/>
      <c r="T45" s="33" t="str">
        <f t="shared" si="16"/>
        <v/>
      </c>
      <c r="U45" s="33" t="str">
        <f t="shared" si="17"/>
        <v/>
      </c>
      <c r="V45" s="30"/>
      <c r="W45" s="30"/>
      <c r="X45" s="31">
        <f t="shared" si="6"/>
        <v>1660.4202898550725</v>
      </c>
      <c r="Y45" s="30">
        <v>69</v>
      </c>
      <c r="Z45" s="30">
        <v>114569</v>
      </c>
      <c r="AA45" s="36">
        <f t="shared" si="20"/>
        <v>2.5459777777777779</v>
      </c>
      <c r="AB45" s="30"/>
      <c r="AC45" s="30"/>
      <c r="AD45" s="34"/>
      <c r="AE45" s="30"/>
      <c r="AF45" s="33" t="str">
        <f t="shared" si="18"/>
        <v/>
      </c>
      <c r="AG45" s="30"/>
      <c r="AH45" s="33" t="str">
        <f t="shared" si="11"/>
        <v/>
      </c>
      <c r="AI45" s="31" t="str">
        <f t="shared" si="19"/>
        <v/>
      </c>
      <c r="AJ45" s="35"/>
      <c r="AK45" s="28"/>
      <c r="AL45" s="28"/>
      <c r="AM45" s="28"/>
    </row>
    <row r="46" spans="1:39" x14ac:dyDescent="0.25">
      <c r="A46" s="28">
        <v>42</v>
      </c>
      <c r="B46" s="28"/>
      <c r="C46" s="29"/>
      <c r="D46" s="29"/>
      <c r="E46" s="30"/>
      <c r="F46" s="31" t="str">
        <f t="shared" si="0"/>
        <v/>
      </c>
      <c r="G46" s="30"/>
      <c r="H46" s="32">
        <v>46500</v>
      </c>
      <c r="I46" s="33" t="str">
        <f t="shared" si="14"/>
        <v/>
      </c>
      <c r="J46" s="30">
        <f>176295/4</f>
        <v>44073.75</v>
      </c>
      <c r="K46" s="33" t="str">
        <f t="shared" si="15"/>
        <v/>
      </c>
      <c r="L46" s="30"/>
      <c r="M46" s="30"/>
      <c r="N46" s="30"/>
      <c r="O46" s="33" t="str">
        <f t="shared" si="3"/>
        <v/>
      </c>
      <c r="P46" s="30"/>
      <c r="Q46" s="30"/>
      <c r="R46" s="30"/>
      <c r="S46" s="30"/>
      <c r="T46" s="33" t="str">
        <f t="shared" si="16"/>
        <v/>
      </c>
      <c r="U46" s="33" t="str">
        <f t="shared" si="17"/>
        <v/>
      </c>
      <c r="V46" s="30"/>
      <c r="W46" s="30"/>
      <c r="X46" s="31" t="str">
        <f t="shared" si="6"/>
        <v/>
      </c>
      <c r="Y46" s="30"/>
      <c r="Z46" s="30"/>
      <c r="AA46" s="36" t="str">
        <f t="shared" si="20"/>
        <v/>
      </c>
      <c r="AB46" s="30"/>
      <c r="AC46" s="30"/>
      <c r="AD46" s="34"/>
      <c r="AE46" s="30"/>
      <c r="AF46" s="33" t="str">
        <f t="shared" si="18"/>
        <v/>
      </c>
      <c r="AG46" s="30"/>
      <c r="AH46" s="33" t="str">
        <f t="shared" si="11"/>
        <v/>
      </c>
      <c r="AI46" s="31" t="str">
        <f t="shared" si="19"/>
        <v/>
      </c>
      <c r="AJ46" s="35"/>
      <c r="AK46" s="28"/>
      <c r="AL46" s="28"/>
      <c r="AM46" s="28"/>
    </row>
    <row r="47" spans="1:39" x14ac:dyDescent="0.25">
      <c r="A47" s="28">
        <v>43</v>
      </c>
      <c r="B47" s="28"/>
      <c r="C47" s="29"/>
      <c r="D47" s="29"/>
      <c r="E47" s="30"/>
      <c r="F47" s="31" t="str">
        <f t="shared" si="0"/>
        <v/>
      </c>
      <c r="G47" s="30"/>
      <c r="H47" s="32">
        <v>46500</v>
      </c>
      <c r="I47" s="33" t="str">
        <f t="shared" si="14"/>
        <v/>
      </c>
      <c r="J47" s="30">
        <f>176295/4</f>
        <v>44073.75</v>
      </c>
      <c r="K47" s="33" t="str">
        <f t="shared" si="15"/>
        <v/>
      </c>
      <c r="L47" s="30"/>
      <c r="M47" s="30"/>
      <c r="N47" s="30"/>
      <c r="O47" s="33" t="str">
        <f t="shared" si="3"/>
        <v/>
      </c>
      <c r="P47" s="30"/>
      <c r="Q47" s="30"/>
      <c r="R47" s="30"/>
      <c r="S47" s="30"/>
      <c r="T47" s="33" t="str">
        <f t="shared" si="16"/>
        <v/>
      </c>
      <c r="U47" s="33" t="str">
        <f t="shared" si="17"/>
        <v/>
      </c>
      <c r="V47" s="30"/>
      <c r="W47" s="30"/>
      <c r="X47" s="31" t="str">
        <f t="shared" si="6"/>
        <v/>
      </c>
      <c r="Y47" s="30"/>
      <c r="Z47" s="30"/>
      <c r="AA47" s="36" t="str">
        <f t="shared" si="20"/>
        <v/>
      </c>
      <c r="AB47" s="30"/>
      <c r="AC47" s="30"/>
      <c r="AD47" s="34"/>
      <c r="AE47" s="30"/>
      <c r="AF47" s="33" t="str">
        <f t="shared" si="18"/>
        <v/>
      </c>
      <c r="AG47" s="30"/>
      <c r="AH47" s="33" t="str">
        <f t="shared" si="11"/>
        <v/>
      </c>
      <c r="AI47" s="31" t="str">
        <f t="shared" si="19"/>
        <v/>
      </c>
      <c r="AJ47" s="35"/>
      <c r="AK47" s="28"/>
      <c r="AL47" s="28"/>
      <c r="AM47" s="28"/>
    </row>
    <row r="48" spans="1:39" x14ac:dyDescent="0.25">
      <c r="A48" s="28">
        <v>44</v>
      </c>
      <c r="B48" s="28"/>
      <c r="C48" s="29"/>
      <c r="D48" s="29"/>
      <c r="E48" s="30"/>
      <c r="F48" s="31" t="str">
        <f t="shared" si="0"/>
        <v/>
      </c>
      <c r="G48" s="30"/>
      <c r="H48" s="32">
        <v>46500</v>
      </c>
      <c r="I48" s="33" t="str">
        <f t="shared" si="14"/>
        <v/>
      </c>
      <c r="J48" s="30">
        <f>176295/4</f>
        <v>44073.75</v>
      </c>
      <c r="K48" s="33" t="str">
        <f t="shared" si="15"/>
        <v/>
      </c>
      <c r="L48" s="30"/>
      <c r="M48" s="30"/>
      <c r="N48" s="30"/>
      <c r="O48" s="33" t="str">
        <f t="shared" si="3"/>
        <v/>
      </c>
      <c r="P48" s="30"/>
      <c r="Q48" s="30"/>
      <c r="R48" s="30"/>
      <c r="S48" s="30"/>
      <c r="T48" s="33" t="str">
        <f t="shared" si="16"/>
        <v/>
      </c>
      <c r="U48" s="33" t="str">
        <f t="shared" si="17"/>
        <v/>
      </c>
      <c r="V48" s="30"/>
      <c r="W48" s="30"/>
      <c r="X48" s="31" t="str">
        <f t="shared" si="6"/>
        <v/>
      </c>
      <c r="Y48" s="30"/>
      <c r="Z48" s="30"/>
      <c r="AA48" s="36" t="str">
        <f t="shared" si="20"/>
        <v/>
      </c>
      <c r="AB48" s="30"/>
      <c r="AC48" s="30"/>
      <c r="AD48" s="34"/>
      <c r="AE48" s="30"/>
      <c r="AF48" s="33" t="str">
        <f t="shared" si="18"/>
        <v/>
      </c>
      <c r="AG48" s="30"/>
      <c r="AH48" s="33" t="str">
        <f t="shared" si="11"/>
        <v/>
      </c>
      <c r="AI48" s="31" t="str">
        <f t="shared" si="19"/>
        <v/>
      </c>
      <c r="AJ48" s="35"/>
      <c r="AK48" s="28"/>
      <c r="AL48" s="28"/>
      <c r="AM48" s="28"/>
    </row>
    <row r="49" spans="1:39" x14ac:dyDescent="0.25">
      <c r="A49" s="28">
        <v>45</v>
      </c>
      <c r="B49" s="28"/>
      <c r="C49" s="29"/>
      <c r="D49" s="29"/>
      <c r="E49" s="30"/>
      <c r="F49" s="31" t="str">
        <f t="shared" si="0"/>
        <v/>
      </c>
      <c r="G49" s="30"/>
      <c r="H49" s="32">
        <v>46500</v>
      </c>
      <c r="I49" s="33" t="str">
        <f t="shared" si="14"/>
        <v/>
      </c>
      <c r="J49" s="30"/>
      <c r="K49" s="33" t="str">
        <f t="shared" si="15"/>
        <v/>
      </c>
      <c r="L49" s="30"/>
      <c r="M49" s="30"/>
      <c r="N49" s="30"/>
      <c r="O49" s="33" t="str">
        <f t="shared" si="3"/>
        <v/>
      </c>
      <c r="P49" s="30"/>
      <c r="Q49" s="30"/>
      <c r="R49" s="30"/>
      <c r="S49" s="30"/>
      <c r="T49" s="33" t="str">
        <f t="shared" si="16"/>
        <v/>
      </c>
      <c r="U49" s="33" t="str">
        <f t="shared" si="17"/>
        <v/>
      </c>
      <c r="V49" s="30"/>
      <c r="W49" s="30"/>
      <c r="X49" s="31" t="str">
        <f t="shared" si="6"/>
        <v/>
      </c>
      <c r="Y49" s="30"/>
      <c r="Z49" s="30"/>
      <c r="AA49" s="36" t="str">
        <f t="shared" si="20"/>
        <v/>
      </c>
      <c r="AB49" s="30"/>
      <c r="AC49" s="30"/>
      <c r="AD49" s="34"/>
      <c r="AE49" s="30"/>
      <c r="AF49" s="33" t="str">
        <f t="shared" si="18"/>
        <v/>
      </c>
      <c r="AG49" s="30"/>
      <c r="AH49" s="33" t="str">
        <f t="shared" si="11"/>
        <v/>
      </c>
      <c r="AI49" s="31" t="str">
        <f t="shared" si="19"/>
        <v/>
      </c>
      <c r="AJ49" s="35"/>
      <c r="AK49" s="28"/>
      <c r="AL49" s="28"/>
      <c r="AM49" s="28"/>
    </row>
    <row r="50" spans="1:39" x14ac:dyDescent="0.25">
      <c r="A50" s="28">
        <v>46</v>
      </c>
      <c r="B50" s="28"/>
      <c r="C50" s="29"/>
      <c r="D50" s="29"/>
      <c r="E50" s="30"/>
      <c r="F50" s="31" t="str">
        <f t="shared" si="0"/>
        <v/>
      </c>
      <c r="G50" s="30"/>
      <c r="H50" s="32">
        <v>46500</v>
      </c>
      <c r="I50" s="33" t="str">
        <f t="shared" si="14"/>
        <v/>
      </c>
      <c r="J50" s="30"/>
      <c r="K50" s="33" t="str">
        <f t="shared" si="15"/>
        <v/>
      </c>
      <c r="L50" s="30"/>
      <c r="M50" s="30"/>
      <c r="N50" s="30"/>
      <c r="O50" s="33" t="str">
        <f t="shared" si="3"/>
        <v/>
      </c>
      <c r="P50" s="30"/>
      <c r="Q50" s="30"/>
      <c r="R50" s="30"/>
      <c r="S50" s="30"/>
      <c r="T50" s="33" t="str">
        <f t="shared" si="16"/>
        <v/>
      </c>
      <c r="U50" s="33" t="str">
        <f t="shared" si="17"/>
        <v/>
      </c>
      <c r="V50" s="30"/>
      <c r="W50" s="30"/>
      <c r="X50" s="31" t="str">
        <f t="shared" si="6"/>
        <v/>
      </c>
      <c r="Y50" s="30"/>
      <c r="Z50" s="30"/>
      <c r="AA50" s="36" t="str">
        <f t="shared" si="20"/>
        <v/>
      </c>
      <c r="AB50" s="30"/>
      <c r="AC50" s="30"/>
      <c r="AD50" s="34"/>
      <c r="AE50" s="30"/>
      <c r="AF50" s="33" t="str">
        <f t="shared" si="18"/>
        <v/>
      </c>
      <c r="AG50" s="30"/>
      <c r="AH50" s="33" t="str">
        <f t="shared" si="11"/>
        <v/>
      </c>
      <c r="AI50" s="31" t="str">
        <f t="shared" si="19"/>
        <v/>
      </c>
      <c r="AJ50" s="35"/>
      <c r="AK50" s="28"/>
      <c r="AL50" s="28"/>
      <c r="AM50" s="28"/>
    </row>
    <row r="51" spans="1:39" x14ac:dyDescent="0.25">
      <c r="A51" s="28">
        <v>47</v>
      </c>
      <c r="B51" s="28"/>
      <c r="C51" s="29"/>
      <c r="D51" s="29"/>
      <c r="E51" s="30"/>
      <c r="F51" s="31" t="str">
        <f t="shared" si="0"/>
        <v/>
      </c>
      <c r="G51" s="30"/>
      <c r="H51" s="32">
        <v>46500</v>
      </c>
      <c r="I51" s="33" t="str">
        <f t="shared" si="14"/>
        <v/>
      </c>
      <c r="J51" s="30"/>
      <c r="K51" s="33" t="str">
        <f t="shared" si="15"/>
        <v/>
      </c>
      <c r="L51" s="30"/>
      <c r="M51" s="30"/>
      <c r="N51" s="30"/>
      <c r="O51" s="33" t="str">
        <f t="shared" si="3"/>
        <v/>
      </c>
      <c r="P51" s="30"/>
      <c r="Q51" s="30"/>
      <c r="R51" s="30"/>
      <c r="S51" s="30"/>
      <c r="T51" s="33" t="str">
        <f t="shared" si="16"/>
        <v/>
      </c>
      <c r="U51" s="33" t="str">
        <f t="shared" si="17"/>
        <v/>
      </c>
      <c r="V51" s="30"/>
      <c r="W51" s="30"/>
      <c r="X51" s="31" t="str">
        <f t="shared" si="6"/>
        <v/>
      </c>
      <c r="Y51" s="30"/>
      <c r="Z51" s="30"/>
      <c r="AA51" s="36" t="str">
        <f t="shared" si="20"/>
        <v/>
      </c>
      <c r="AB51" s="30"/>
      <c r="AC51" s="30"/>
      <c r="AD51" s="34"/>
      <c r="AE51" s="30"/>
      <c r="AF51" s="33" t="str">
        <f t="shared" si="18"/>
        <v/>
      </c>
      <c r="AG51" s="30"/>
      <c r="AH51" s="33" t="str">
        <f t="shared" si="11"/>
        <v/>
      </c>
      <c r="AI51" s="31" t="str">
        <f t="shared" si="19"/>
        <v/>
      </c>
      <c r="AJ51" s="35"/>
      <c r="AK51" s="28"/>
      <c r="AL51" s="28"/>
      <c r="AM51" s="28"/>
    </row>
    <row r="52" spans="1:39" x14ac:dyDescent="0.25">
      <c r="A52" s="28">
        <v>48</v>
      </c>
      <c r="B52" s="28"/>
      <c r="C52" s="29"/>
      <c r="D52" s="29"/>
      <c r="E52" s="30"/>
      <c r="F52" s="31" t="str">
        <f t="shared" si="0"/>
        <v/>
      </c>
      <c r="G52" s="30"/>
      <c r="H52" s="32">
        <v>46500</v>
      </c>
      <c r="I52" s="33" t="str">
        <f t="shared" si="14"/>
        <v/>
      </c>
      <c r="J52" s="30"/>
      <c r="K52" s="33" t="str">
        <f t="shared" si="15"/>
        <v/>
      </c>
      <c r="L52" s="30"/>
      <c r="M52" s="30"/>
      <c r="N52" s="30"/>
      <c r="O52" s="33" t="str">
        <f t="shared" si="3"/>
        <v/>
      </c>
      <c r="P52" s="30"/>
      <c r="Q52" s="30"/>
      <c r="R52" s="30"/>
      <c r="S52" s="30"/>
      <c r="T52" s="33" t="str">
        <f t="shared" si="16"/>
        <v/>
      </c>
      <c r="U52" s="33" t="str">
        <f t="shared" si="17"/>
        <v/>
      </c>
      <c r="V52" s="30"/>
      <c r="W52" s="30"/>
      <c r="X52" s="31" t="str">
        <f t="shared" si="6"/>
        <v/>
      </c>
      <c r="Y52" s="30"/>
      <c r="Z52" s="30"/>
      <c r="AA52" s="36" t="str">
        <f t="shared" si="20"/>
        <v/>
      </c>
      <c r="AB52" s="30"/>
      <c r="AC52" s="30"/>
      <c r="AD52" s="34"/>
      <c r="AE52" s="30"/>
      <c r="AF52" s="33" t="str">
        <f t="shared" si="18"/>
        <v/>
      </c>
      <c r="AG52" s="30"/>
      <c r="AH52" s="33" t="str">
        <f t="shared" si="11"/>
        <v/>
      </c>
      <c r="AI52" s="31" t="str">
        <f t="shared" si="19"/>
        <v/>
      </c>
      <c r="AJ52" s="35"/>
      <c r="AK52" s="28"/>
      <c r="AL52" s="28"/>
      <c r="AM52" s="28"/>
    </row>
    <row r="53" spans="1:39" x14ac:dyDescent="0.25">
      <c r="A53" s="28">
        <v>49</v>
      </c>
      <c r="B53" s="28"/>
      <c r="C53" s="29"/>
      <c r="D53" s="29"/>
      <c r="E53" s="30"/>
      <c r="F53" s="31" t="str">
        <f t="shared" si="0"/>
        <v/>
      </c>
      <c r="G53" s="30"/>
      <c r="H53" s="32">
        <v>46500</v>
      </c>
      <c r="I53" s="33" t="str">
        <f t="shared" si="14"/>
        <v/>
      </c>
      <c r="J53" s="30"/>
      <c r="K53" s="33" t="str">
        <f t="shared" si="15"/>
        <v/>
      </c>
      <c r="L53" s="30"/>
      <c r="M53" s="30"/>
      <c r="N53" s="30"/>
      <c r="O53" s="33" t="str">
        <f t="shared" si="3"/>
        <v/>
      </c>
      <c r="P53" s="30"/>
      <c r="Q53" s="30"/>
      <c r="R53" s="30"/>
      <c r="S53" s="30"/>
      <c r="T53" s="33" t="str">
        <f t="shared" si="16"/>
        <v/>
      </c>
      <c r="U53" s="33" t="str">
        <f t="shared" si="17"/>
        <v/>
      </c>
      <c r="V53" s="30"/>
      <c r="W53" s="30"/>
      <c r="X53" s="31" t="str">
        <f t="shared" si="6"/>
        <v/>
      </c>
      <c r="Y53" s="30"/>
      <c r="Z53" s="30"/>
      <c r="AA53" s="36" t="str">
        <f t="shared" si="20"/>
        <v/>
      </c>
      <c r="AB53" s="30"/>
      <c r="AC53" s="30"/>
      <c r="AD53" s="34"/>
      <c r="AE53" s="30"/>
      <c r="AF53" s="33" t="str">
        <f t="shared" si="18"/>
        <v/>
      </c>
      <c r="AG53" s="30"/>
      <c r="AH53" s="33" t="str">
        <f t="shared" si="11"/>
        <v/>
      </c>
      <c r="AI53" s="31" t="str">
        <f t="shared" si="19"/>
        <v/>
      </c>
      <c r="AJ53" s="35"/>
      <c r="AK53" s="28"/>
      <c r="AL53" s="28"/>
      <c r="AM53" s="28"/>
    </row>
    <row r="54" spans="1:39" x14ac:dyDescent="0.25">
      <c r="A54" s="28">
        <v>50</v>
      </c>
      <c r="B54" s="28"/>
      <c r="C54" s="29"/>
      <c r="D54" s="29"/>
      <c r="E54" s="30"/>
      <c r="F54" s="31" t="str">
        <f t="shared" si="0"/>
        <v/>
      </c>
      <c r="G54" s="30"/>
      <c r="H54" s="32">
        <v>46500</v>
      </c>
      <c r="I54" s="33" t="str">
        <f t="shared" si="14"/>
        <v/>
      </c>
      <c r="J54" s="30"/>
      <c r="K54" s="33" t="str">
        <f t="shared" si="15"/>
        <v/>
      </c>
      <c r="L54" s="30"/>
      <c r="M54" s="30"/>
      <c r="N54" s="30"/>
      <c r="O54" s="33" t="str">
        <f t="shared" si="3"/>
        <v/>
      </c>
      <c r="P54" s="30"/>
      <c r="Q54" s="30"/>
      <c r="R54" s="30"/>
      <c r="S54" s="30"/>
      <c r="T54" s="33" t="str">
        <f t="shared" si="16"/>
        <v/>
      </c>
      <c r="U54" s="33" t="str">
        <f t="shared" si="17"/>
        <v/>
      </c>
      <c r="V54" s="30"/>
      <c r="W54" s="30"/>
      <c r="X54" s="31" t="str">
        <f t="shared" si="6"/>
        <v/>
      </c>
      <c r="Y54" s="30"/>
      <c r="Z54" s="30"/>
      <c r="AA54" s="36" t="str">
        <f t="shared" si="20"/>
        <v/>
      </c>
      <c r="AB54" s="30"/>
      <c r="AC54" s="30"/>
      <c r="AD54" s="34"/>
      <c r="AE54" s="30"/>
      <c r="AF54" s="33" t="str">
        <f t="shared" si="18"/>
        <v/>
      </c>
      <c r="AG54" s="30"/>
      <c r="AH54" s="33" t="str">
        <f t="shared" si="11"/>
        <v/>
      </c>
      <c r="AI54" s="31" t="str">
        <f t="shared" si="19"/>
        <v/>
      </c>
      <c r="AJ54" s="35"/>
      <c r="AK54" s="28"/>
      <c r="AL54" s="28"/>
      <c r="AM54" s="28"/>
    </row>
    <row r="55" spans="1:39" x14ac:dyDescent="0.25">
      <c r="A55" s="28">
        <v>51</v>
      </c>
      <c r="B55" s="28"/>
      <c r="C55" s="29"/>
      <c r="D55" s="29"/>
      <c r="E55" s="30"/>
      <c r="F55" s="31" t="str">
        <f t="shared" si="0"/>
        <v/>
      </c>
      <c r="G55" s="30"/>
      <c r="H55" s="32">
        <v>46500</v>
      </c>
      <c r="I55" s="33" t="str">
        <f t="shared" si="14"/>
        <v/>
      </c>
      <c r="J55" s="30"/>
      <c r="K55" s="33" t="str">
        <f t="shared" si="15"/>
        <v/>
      </c>
      <c r="L55" s="30"/>
      <c r="M55" s="30"/>
      <c r="N55" s="30"/>
      <c r="O55" s="33" t="str">
        <f t="shared" si="3"/>
        <v/>
      </c>
      <c r="P55" s="30"/>
      <c r="Q55" s="30"/>
      <c r="R55" s="30"/>
      <c r="S55" s="30"/>
      <c r="T55" s="33" t="str">
        <f t="shared" si="16"/>
        <v/>
      </c>
      <c r="U55" s="33" t="str">
        <f t="shared" si="17"/>
        <v/>
      </c>
      <c r="V55" s="30"/>
      <c r="W55" s="30"/>
      <c r="X55" s="31" t="str">
        <f t="shared" si="6"/>
        <v/>
      </c>
      <c r="Y55" s="30"/>
      <c r="Z55" s="30"/>
      <c r="AA55" s="36" t="str">
        <f t="shared" si="20"/>
        <v/>
      </c>
      <c r="AB55" s="30"/>
      <c r="AC55" s="30"/>
      <c r="AD55" s="34"/>
      <c r="AE55" s="30"/>
      <c r="AF55" s="33" t="str">
        <f t="shared" si="18"/>
        <v/>
      </c>
      <c r="AG55" s="30"/>
      <c r="AH55" s="33" t="str">
        <f t="shared" si="11"/>
        <v/>
      </c>
      <c r="AI55" s="31" t="str">
        <f t="shared" si="19"/>
        <v/>
      </c>
      <c r="AJ55" s="35"/>
      <c r="AK55" s="28"/>
      <c r="AL55" s="28"/>
      <c r="AM55" s="28"/>
    </row>
    <row r="56" spans="1:39" x14ac:dyDescent="0.25">
      <c r="A56" s="28">
        <v>52</v>
      </c>
      <c r="B56" s="28"/>
      <c r="C56" s="29"/>
      <c r="D56" s="29"/>
      <c r="E56" s="30"/>
      <c r="F56" s="31" t="str">
        <f t="shared" si="0"/>
        <v/>
      </c>
      <c r="G56" s="30"/>
      <c r="H56" s="32">
        <v>46500</v>
      </c>
      <c r="I56" s="33" t="str">
        <f t="shared" si="14"/>
        <v/>
      </c>
      <c r="J56" s="30"/>
      <c r="K56" s="33" t="str">
        <f t="shared" si="15"/>
        <v/>
      </c>
      <c r="L56" s="30"/>
      <c r="M56" s="30"/>
      <c r="N56" s="30"/>
      <c r="O56" s="33" t="str">
        <f t="shared" si="3"/>
        <v/>
      </c>
      <c r="P56" s="30"/>
      <c r="Q56" s="30"/>
      <c r="R56" s="30"/>
      <c r="S56" s="30"/>
      <c r="T56" s="33" t="str">
        <f t="shared" si="16"/>
        <v/>
      </c>
      <c r="U56" s="33" t="str">
        <f t="shared" si="17"/>
        <v/>
      </c>
      <c r="V56" s="30"/>
      <c r="W56" s="30"/>
      <c r="X56" s="31" t="str">
        <f t="shared" si="6"/>
        <v/>
      </c>
      <c r="Y56" s="30"/>
      <c r="Z56" s="30"/>
      <c r="AA56" s="36" t="str">
        <f t="shared" si="20"/>
        <v/>
      </c>
      <c r="AB56" s="30"/>
      <c r="AC56" s="30"/>
      <c r="AD56" s="34"/>
      <c r="AE56" s="30"/>
      <c r="AF56" s="33" t="str">
        <f t="shared" si="18"/>
        <v/>
      </c>
      <c r="AG56" s="30"/>
      <c r="AH56" s="33" t="str">
        <f t="shared" si="11"/>
        <v/>
      </c>
      <c r="AI56" s="31" t="str">
        <f t="shared" si="19"/>
        <v/>
      </c>
      <c r="AJ56" s="35"/>
      <c r="AK56" s="28"/>
      <c r="AL56" s="28"/>
      <c r="AM56" s="28"/>
    </row>
    <row r="57" spans="1:39" x14ac:dyDescent="0.25">
      <c r="A57" s="28">
        <v>53</v>
      </c>
      <c r="B57" s="28"/>
      <c r="C57" s="29"/>
      <c r="D57" s="29"/>
      <c r="E57" s="30"/>
      <c r="F57" s="31" t="str">
        <f t="shared" si="0"/>
        <v/>
      </c>
      <c r="G57" s="30"/>
      <c r="H57" s="32">
        <v>46500</v>
      </c>
      <c r="I57" s="33" t="str">
        <f t="shared" si="14"/>
        <v/>
      </c>
      <c r="J57" s="30"/>
      <c r="K57" s="33" t="str">
        <f t="shared" si="15"/>
        <v/>
      </c>
      <c r="L57" s="30"/>
      <c r="M57" s="30"/>
      <c r="N57" s="30"/>
      <c r="O57" s="33" t="str">
        <f t="shared" si="3"/>
        <v/>
      </c>
      <c r="P57" s="30"/>
      <c r="Q57" s="30"/>
      <c r="R57" s="30"/>
      <c r="S57" s="30"/>
      <c r="T57" s="33" t="str">
        <f t="shared" si="16"/>
        <v/>
      </c>
      <c r="U57" s="33" t="str">
        <f t="shared" si="17"/>
        <v/>
      </c>
      <c r="V57" s="30"/>
      <c r="W57" s="30"/>
      <c r="X57" s="31" t="str">
        <f t="shared" si="6"/>
        <v/>
      </c>
      <c r="Y57" s="30"/>
      <c r="Z57" s="30"/>
      <c r="AA57" s="36" t="str">
        <f t="shared" si="20"/>
        <v/>
      </c>
      <c r="AB57" s="30"/>
      <c r="AC57" s="30"/>
      <c r="AD57" s="34"/>
      <c r="AE57" s="30"/>
      <c r="AF57" s="33" t="str">
        <f t="shared" si="18"/>
        <v/>
      </c>
      <c r="AG57" s="30"/>
      <c r="AH57" s="33" t="str">
        <f t="shared" si="11"/>
        <v/>
      </c>
      <c r="AI57" s="31" t="str">
        <f t="shared" si="19"/>
        <v/>
      </c>
      <c r="AJ57" s="35"/>
      <c r="AK57" s="28"/>
      <c r="AL57" s="28"/>
      <c r="AM57" s="28"/>
    </row>
  </sheetData>
  <autoFilter ref="A4:AV57" xr:uid="{00000000-0009-0000-0000-000001000000}"/>
  <mergeCells count="3">
    <mergeCell ref="A2:AJ2"/>
    <mergeCell ref="A1:AJ1"/>
    <mergeCell ref="X3:Y3"/>
  </mergeCells>
  <dataValidations count="1">
    <dataValidation type="list" allowBlank="1" sqref="B5:B57" xr:uid="{00000000-0002-0000-0100-000000000000}">
      <formula1>"Enero,Febrero,Marzo,Abril,Mayo,Junio,Julio,Agosto,Septiembre,Octubre,Noviembre,Diciembre"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4"/>
  <sheetViews>
    <sheetView showGridLines="0" workbookViewId="0">
      <selection activeCell="E6" sqref="E6"/>
    </sheetView>
  </sheetViews>
  <sheetFormatPr baseColWidth="10" defaultColWidth="8.85546875" defaultRowHeight="15" x14ac:dyDescent="0.25"/>
  <cols>
    <col min="1" max="1" width="26" style="24" customWidth="1"/>
    <col min="2" max="2" width="16" style="10" customWidth="1"/>
    <col min="3" max="3" width="12.7109375" style="10" customWidth="1"/>
    <col min="4" max="5" width="16" style="10" customWidth="1"/>
    <col min="6" max="6" width="18" style="10" customWidth="1"/>
    <col min="7" max="7" width="45" style="10" customWidth="1"/>
    <col min="8" max="9" width="16" style="10" customWidth="1"/>
    <col min="10" max="16384" width="8.85546875" style="10"/>
  </cols>
  <sheetData>
    <row r="1" spans="1:9" ht="25.9" customHeight="1" x14ac:dyDescent="0.25">
      <c r="A1" s="45" t="s">
        <v>68</v>
      </c>
      <c r="B1" s="44"/>
      <c r="C1" s="44"/>
      <c r="D1" s="44"/>
      <c r="E1" s="44"/>
      <c r="F1" s="44"/>
      <c r="G1" s="44"/>
      <c r="H1" s="44"/>
      <c r="I1" s="44"/>
    </row>
    <row r="2" spans="1:9" ht="28.15" customHeight="1" x14ac:dyDescent="0.25">
      <c r="A2" s="43" t="s">
        <v>69</v>
      </c>
      <c r="B2" s="44"/>
      <c r="C2" s="44"/>
      <c r="D2" s="44"/>
      <c r="E2" s="44"/>
      <c r="F2" s="44"/>
      <c r="G2" s="44"/>
      <c r="H2" s="44"/>
      <c r="I2" s="44"/>
    </row>
    <row r="3" spans="1:9" x14ac:dyDescent="0.25">
      <c r="A3" s="20" t="s">
        <v>70</v>
      </c>
      <c r="B3" s="14">
        <v>18</v>
      </c>
    </row>
    <row r="5" spans="1:9" ht="15.75" thickBot="1" x14ac:dyDescent="0.3">
      <c r="A5" s="21" t="s">
        <v>71</v>
      </c>
      <c r="B5" s="4" t="s">
        <v>72</v>
      </c>
      <c r="C5" s="4" t="s">
        <v>73</v>
      </c>
      <c r="D5" s="4" t="s">
        <v>74</v>
      </c>
      <c r="E5" s="4" t="s">
        <v>75</v>
      </c>
      <c r="F5" s="4" t="s">
        <v>76</v>
      </c>
      <c r="G5" s="4" t="s">
        <v>77</v>
      </c>
    </row>
    <row r="6" spans="1:9" x14ac:dyDescent="0.25">
      <c r="A6" s="22" t="s">
        <v>30</v>
      </c>
      <c r="B6" s="16">
        <f>IFERROR(INDEX('Datos Semanales'!$G$5:$G$57,MATCH($B$3,'Datos Semanales'!$A$5:$A$57,0)),"")</f>
        <v>45293.88</v>
      </c>
      <c r="C6" s="17">
        <v>46000</v>
      </c>
      <c r="D6" s="16">
        <f>IFERROR(INDEX('Datos Semanales'!$G$5:$G$57,MATCH($B$3-1,'Datos Semanales'!$A$5:$A$57,0)),"")</f>
        <v>60500</v>
      </c>
      <c r="E6" s="16">
        <f t="shared" ref="E6:E16" si="0">IFERROR(B6-D6,"")</f>
        <v>-15206.120000000003</v>
      </c>
      <c r="F6" s="25" t="str">
        <f t="shared" ref="F6:F11" si="1">IF(B6="","",IF(B6&gt;=C6,"Bien",IF(B6&gt;=C6*0.85,"Alerta","Mal")))</f>
        <v>Alerta</v>
      </c>
      <c r="G6" s="15"/>
    </row>
    <row r="7" spans="1:9" x14ac:dyDescent="0.25">
      <c r="A7" s="22" t="s">
        <v>78</v>
      </c>
      <c r="B7" s="18">
        <f>IFERROR(INDEX('Datos Semanales'!$I$5:$I$57,MATCH($B$3,'Datos Semanales'!$A$5:$A$57,0)),"")</f>
        <v>0.97406193548387088</v>
      </c>
      <c r="C7" s="19">
        <v>1</v>
      </c>
      <c r="D7" s="18">
        <f>IFERROR(INDEX('Datos Semanales'!$I$5:$I$57,MATCH($B$3-1,'Datos Semanales'!$A$5:$A$57,0)),"")</f>
        <v>1.3010752688172043</v>
      </c>
      <c r="E7" s="18">
        <f t="shared" si="0"/>
        <v>-0.32701333333333338</v>
      </c>
      <c r="F7" s="25" t="str">
        <f t="shared" si="1"/>
        <v>Alerta</v>
      </c>
      <c r="G7" s="15"/>
    </row>
    <row r="8" spans="1:9" x14ac:dyDescent="0.25">
      <c r="A8" s="22" t="s">
        <v>79</v>
      </c>
      <c r="B8" s="16" t="str">
        <f>IFERROR(VLOOKUP($B$3,'Datos Semanales'!A:Y,21,FALSE),"")</f>
        <v/>
      </c>
      <c r="C8" s="17">
        <v>43000</v>
      </c>
      <c r="D8" s="18"/>
      <c r="E8" s="18"/>
      <c r="F8" s="25" t="str">
        <f t="shared" si="1"/>
        <v/>
      </c>
      <c r="G8" s="15"/>
    </row>
    <row r="9" spans="1:9" x14ac:dyDescent="0.25">
      <c r="A9" s="22" t="s">
        <v>50</v>
      </c>
      <c r="B9" s="16">
        <f>IFERROR(INDEX('Datos Semanales'!$AB$5:$AB$57,MATCH($B$3,'Datos Semanales'!$A$5:$A$57,0)),"")</f>
        <v>53</v>
      </c>
      <c r="C9" s="17">
        <v>75</v>
      </c>
      <c r="D9" s="16">
        <f>IFERROR(INDEX('Datos Semanales'!$AB$5:$AB$57,MATCH($B$3-1,'Datos Semanales'!$A$5:$A$57,0)),"")</f>
        <v>54</v>
      </c>
      <c r="E9" s="16">
        <f t="shared" si="0"/>
        <v>-1</v>
      </c>
      <c r="F9" s="25" t="str">
        <f>IF(B9="","",IF(B9&gt;=C9,"Bien",IF(B9&gt;=C9*0.85,"Alerta","Mal")))</f>
        <v>Mal</v>
      </c>
      <c r="G9" s="15"/>
    </row>
    <row r="10" spans="1:9" x14ac:dyDescent="0.25">
      <c r="A10" s="22" t="s">
        <v>54</v>
      </c>
      <c r="B10" s="18">
        <f>IFERROR(INDEX('Datos Semanales'!$AF$5:$AF$57,MATCH($B$3,'Datos Semanales'!$A$5:$A$57,0)),"")</f>
        <v>1.8867924528301886E-2</v>
      </c>
      <c r="C10" s="19">
        <v>0.1</v>
      </c>
      <c r="D10" s="18">
        <f>IFERROR(INDEX('Datos Semanales'!$AF$5:$AF$57,MATCH($B$3-1,'Datos Semanales'!$A$5:$A$57,0)),"")</f>
        <v>1.8518518518518517E-2</v>
      </c>
      <c r="E10" s="18">
        <f t="shared" si="0"/>
        <v>3.4940600978336858E-4</v>
      </c>
      <c r="F10" s="25" t="str">
        <f t="shared" si="1"/>
        <v>Mal</v>
      </c>
      <c r="G10" s="15"/>
    </row>
    <row r="11" spans="1:9" x14ac:dyDescent="0.25">
      <c r="A11" s="22" t="s">
        <v>56</v>
      </c>
      <c r="B11" s="18">
        <f>IFERROR(INDEX('Datos Semanales'!$AH$5:$AH$57,MATCH($B$3,'Datos Semanales'!$A$5:$A$57,0)),"")</f>
        <v>0.43396226415094341</v>
      </c>
      <c r="C11" s="19">
        <v>0.8</v>
      </c>
      <c r="D11" s="18" t="str">
        <f>IFERROR(INDEX('Datos Semanales'!$AH$5:$AH$57,MATCH($B$3-1,'Datos Semanales'!$A$5:$A$57,0)),"")</f>
        <v/>
      </c>
      <c r="E11" s="18" t="str">
        <f t="shared" si="0"/>
        <v/>
      </c>
      <c r="F11" s="25" t="str">
        <f t="shared" si="1"/>
        <v>Mal</v>
      </c>
      <c r="G11" s="15"/>
    </row>
    <row r="12" spans="1:9" x14ac:dyDescent="0.25">
      <c r="A12" s="22" t="s">
        <v>57</v>
      </c>
      <c r="B12" s="16">
        <f>IFERROR(INDEX('Datos Semanales'!$AI$5:$AI$57,MATCH($B$3,'Datos Semanales'!$A$5:$A$57,0)),"")</f>
        <v>30</v>
      </c>
      <c r="C12" s="17">
        <v>10</v>
      </c>
      <c r="D12" s="16" t="str">
        <f>IFERROR(INDEX('Datos Semanales'!$AI$5:$AI$57,MATCH($B$3-1,'Datos Semanales'!$A$5:$A$57,0)),"")</f>
        <v/>
      </c>
      <c r="E12" s="16" t="str">
        <f t="shared" si="0"/>
        <v/>
      </c>
      <c r="F12" s="25" t="str">
        <f>IF(B12="","",IF(B12&lt;=C12,"Bien",IF(B12&lt;=C12*1.2,"Alerta","Mal")))</f>
        <v>Mal</v>
      </c>
      <c r="G12" s="15"/>
    </row>
    <row r="13" spans="1:9" x14ac:dyDescent="0.25">
      <c r="A13" s="22" t="s">
        <v>43</v>
      </c>
      <c r="B13" s="18">
        <f>IFERROR(INDEX('Datos Semanales'!$T$5:$T$57,MATCH($B$3,'Datos Semanales'!$A$5:$A$57,0)),"")</f>
        <v>0</v>
      </c>
      <c r="C13" s="19">
        <v>0.1</v>
      </c>
      <c r="D13" s="18" t="str">
        <f>IFERROR(INDEX('Datos Semanales'!$T$5:$T$57,MATCH($B$3-1,'Datos Semanales'!$A$5:$A$57,0)),"")</f>
        <v/>
      </c>
      <c r="E13" s="18" t="str">
        <f t="shared" si="0"/>
        <v/>
      </c>
      <c r="F13" s="25" t="str">
        <f>IF(B13="","",IF(B13&lt;=C13,"Bien",IF(B13&lt;=C13*1.2,"Alerta","Mal")))</f>
        <v>Bien</v>
      </c>
      <c r="G13" s="15"/>
    </row>
    <row r="14" spans="1:9" x14ac:dyDescent="0.25">
      <c r="A14" s="22" t="s">
        <v>44</v>
      </c>
      <c r="B14" s="18" t="str">
        <f>IFERROR(INDEX('Datos Semanales'!$U$5:$U$57,MATCH($B$3,'Datos Semanales'!$A$5:$A$57,0)),"")</f>
        <v/>
      </c>
      <c r="C14" s="19">
        <v>0.05</v>
      </c>
      <c r="D14" s="18">
        <f>IFERROR(INDEX('Datos Semanales'!$U$5:$U$57,MATCH($B$3-1,'Datos Semanales'!$A$5:$A$57,0)),"")</f>
        <v>0.5714285714285714</v>
      </c>
      <c r="E14" s="18" t="str">
        <f t="shared" si="0"/>
        <v/>
      </c>
      <c r="F14" s="25" t="str">
        <f>IF(B14="","",IF(B14&lt;=C14,"Bien",IF(B14&lt;=C14*1.2,"Alerta","Mal")))</f>
        <v/>
      </c>
      <c r="G14" s="15"/>
    </row>
    <row r="15" spans="1:9" x14ac:dyDescent="0.25">
      <c r="A15" s="22" t="s">
        <v>42</v>
      </c>
      <c r="B15" s="16">
        <f>IFERROR(INDEX('Datos Semanales'!$S$5:$S$57,MATCH($B$3,'Datos Semanales'!$A$5:$A$57,0)),"")</f>
        <v>0</v>
      </c>
      <c r="C15" s="17">
        <v>5</v>
      </c>
      <c r="D15" s="16">
        <f>IFERROR(INDEX('Datos Semanales'!$S$5:$S$57,MATCH($B$3-1,'Datos Semanales'!$A$5:$A$57,0)),"")</f>
        <v>0</v>
      </c>
      <c r="E15" s="16">
        <f t="shared" si="0"/>
        <v>0</v>
      </c>
      <c r="F15" s="25" t="str">
        <f>IF(B15="","",IF(B15&lt;=C15,"Bien",IF(B15&lt;=C15*1.2,"Alerta","Mal")))</f>
        <v>Bien</v>
      </c>
      <c r="G15" s="15"/>
    </row>
    <row r="16" spans="1:9" x14ac:dyDescent="0.25">
      <c r="A16" s="22" t="s">
        <v>49</v>
      </c>
      <c r="B16" s="16">
        <f>IFERROR(INDEX('Datos Semanales'!$AA$5:$AA$57,MATCH($B$3,'Datos Semanales'!$A$5:$A$57,0)),"")</f>
        <v>3.7513633333333334</v>
      </c>
      <c r="C16" s="17">
        <v>4</v>
      </c>
      <c r="D16" s="16">
        <f>IFERROR(INDEX('Datos Semanales'!$AA$5:$AA$57,MATCH($B$3-1,'Datos Semanales'!$A$5:$A$57,0)),"")</f>
        <v>3.8116586666666672</v>
      </c>
      <c r="E16" s="16">
        <f t="shared" si="0"/>
        <v>-6.0295333333333812E-2</v>
      </c>
      <c r="F16" s="25" t="str">
        <f>IF(B16="","",IF(AND(B16&gt;=4,B16&lt;=5),"Bien",IF(OR(AND(B16&gt;=3,B16&lt;4),AND(B16&gt;5,B16&lt;=6)),"Alerta","Mal")))</f>
        <v>Alerta</v>
      </c>
      <c r="G16" s="15"/>
    </row>
    <row r="19" spans="1:7" x14ac:dyDescent="0.25">
      <c r="A19" s="53" t="s">
        <v>80</v>
      </c>
      <c r="B19" s="44"/>
      <c r="C19" s="44"/>
      <c r="D19" s="44"/>
      <c r="E19" s="44"/>
      <c r="F19" s="44"/>
      <c r="G19" s="44"/>
    </row>
    <row r="20" spans="1:7" x14ac:dyDescent="0.25">
      <c r="A20" s="23" t="s">
        <v>81</v>
      </c>
      <c r="B20" s="52"/>
      <c r="C20" s="44"/>
      <c r="D20" s="44"/>
      <c r="E20" s="44"/>
      <c r="F20" s="44"/>
      <c r="G20" s="44"/>
    </row>
    <row r="21" spans="1:7" x14ac:dyDescent="0.25">
      <c r="A21" s="23" t="s">
        <v>82</v>
      </c>
      <c r="B21" s="52"/>
      <c r="C21" s="44"/>
      <c r="D21" s="44"/>
      <c r="E21" s="44"/>
      <c r="F21" s="44"/>
      <c r="G21" s="44"/>
    </row>
    <row r="22" spans="1:7" x14ac:dyDescent="0.25">
      <c r="A22" s="23" t="s">
        <v>83</v>
      </c>
      <c r="B22" s="52"/>
      <c r="C22" s="44"/>
      <c r="D22" s="44"/>
      <c r="E22" s="44"/>
      <c r="F22" s="44"/>
      <c r="G22" s="44"/>
    </row>
    <row r="23" spans="1:7" x14ac:dyDescent="0.25">
      <c r="A23" s="23" t="s">
        <v>4</v>
      </c>
      <c r="B23" s="51"/>
      <c r="C23" s="44"/>
      <c r="D23" s="44"/>
      <c r="E23" s="44"/>
      <c r="F23" s="44"/>
      <c r="G23" s="44"/>
    </row>
    <row r="24" spans="1:7" x14ac:dyDescent="0.25">
      <c r="A24" s="23" t="s">
        <v>84</v>
      </c>
      <c r="B24" s="51"/>
      <c r="C24" s="44"/>
      <c r="D24" s="44"/>
      <c r="E24" s="44"/>
      <c r="F24" s="44"/>
      <c r="G24" s="44"/>
    </row>
  </sheetData>
  <mergeCells count="8">
    <mergeCell ref="B24:G24"/>
    <mergeCell ref="A1:I1"/>
    <mergeCell ref="B22:G22"/>
    <mergeCell ref="B20:G20"/>
    <mergeCell ref="B21:G21"/>
    <mergeCell ref="A2:I2"/>
    <mergeCell ref="A19:G19"/>
    <mergeCell ref="B23:G23"/>
  </mergeCells>
  <conditionalFormatting sqref="F6:F16">
    <cfRule type="containsText" dxfId="9" priority="1" operator="containsText" text="Alerta">
      <formula>NOT(ISERROR(SEARCH("Alerta",F6)))</formula>
    </cfRule>
    <cfRule type="containsText" dxfId="8" priority="2" operator="containsText" text="Mal">
      <formula>NOT(ISERROR(SEARCH("Mal",F6)))</formula>
    </cfRule>
    <cfRule type="containsText" dxfId="7" priority="3" operator="containsText" text="Bien">
      <formula>NOT(ISERROR(SEARCH("Bien",F6)))</formula>
    </cfRule>
    <cfRule type="cellIs" dxfId="6" priority="4" operator="equal">
      <formula>"bien"</formula>
    </cfRule>
    <cfRule type="expression" dxfId="5" priority="5">
      <formula>F6="Bien"</formula>
    </cfRule>
    <cfRule type="expression" dxfId="4" priority="6">
      <formula>F6="Alerta"</formula>
    </cfRule>
    <cfRule type="expression" dxfId="3" priority="7">
      <formula>F6="Mal"</formula>
    </cfRule>
  </conditionalFormatting>
  <dataValidations count="1">
    <dataValidation type="whole" sqref="B3" xr:uid="{00000000-0002-0000-0300-000000000000}">
      <formula1>1</formula1>
      <formula2>53</formula2>
    </dataValidation>
  </dataValidation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showGridLines="0" workbookViewId="0">
      <selection activeCell="L13" sqref="L13"/>
    </sheetView>
  </sheetViews>
  <sheetFormatPr baseColWidth="10" defaultColWidth="8.85546875" defaultRowHeight="15" x14ac:dyDescent="0.25"/>
  <cols>
    <col min="1" max="1" width="24" customWidth="1"/>
    <col min="2" max="4" width="18" customWidth="1"/>
    <col min="5" max="5" width="22" customWidth="1"/>
    <col min="6" max="6" width="40" customWidth="1"/>
    <col min="7" max="7" width="22" customWidth="1"/>
  </cols>
  <sheetData>
    <row r="1" spans="1:7" ht="25.9" customHeight="1" x14ac:dyDescent="0.25">
      <c r="A1" s="50" t="s">
        <v>85</v>
      </c>
      <c r="B1" s="49"/>
      <c r="C1" s="49"/>
      <c r="D1" s="49"/>
      <c r="E1" s="49"/>
      <c r="F1" s="49"/>
      <c r="G1" s="49"/>
    </row>
    <row r="2" spans="1:7" ht="28.15" customHeight="1" x14ac:dyDescent="0.25">
      <c r="A2" s="48" t="s">
        <v>86</v>
      </c>
      <c r="B2" s="49"/>
      <c r="C2" s="49"/>
      <c r="D2" s="49"/>
      <c r="E2" s="49"/>
      <c r="F2" s="49"/>
      <c r="G2" s="49"/>
    </row>
    <row r="4" spans="1:7" x14ac:dyDescent="0.25">
      <c r="A4" s="4" t="s">
        <v>87</v>
      </c>
      <c r="B4" s="4" t="s">
        <v>71</v>
      </c>
      <c r="C4" s="4" t="s">
        <v>88</v>
      </c>
      <c r="D4" s="4" t="s">
        <v>73</v>
      </c>
      <c r="E4" s="4" t="s">
        <v>4</v>
      </c>
      <c r="F4" s="4" t="s">
        <v>89</v>
      </c>
      <c r="G4" s="4" t="s">
        <v>90</v>
      </c>
    </row>
    <row r="5" spans="1:7" x14ac:dyDescent="0.25">
      <c r="A5" s="8" t="s">
        <v>91</v>
      </c>
      <c r="B5" s="8" t="s">
        <v>30</v>
      </c>
      <c r="C5" s="9"/>
      <c r="D5" s="9"/>
      <c r="E5" s="8" t="s">
        <v>5</v>
      </c>
      <c r="F5" s="8"/>
      <c r="G5" s="8"/>
    </row>
    <row r="6" spans="1:7" x14ac:dyDescent="0.25">
      <c r="A6" s="8" t="s">
        <v>91</v>
      </c>
      <c r="B6" s="8" t="s">
        <v>32</v>
      </c>
      <c r="C6" s="9"/>
      <c r="D6" s="9"/>
      <c r="E6" s="8" t="s">
        <v>5</v>
      </c>
      <c r="F6" s="8"/>
      <c r="G6" s="8"/>
    </row>
    <row r="7" spans="1:7" x14ac:dyDescent="0.25">
      <c r="A7" s="8" t="s">
        <v>92</v>
      </c>
      <c r="B7" s="8" t="s">
        <v>50</v>
      </c>
      <c r="C7" s="9"/>
      <c r="D7" s="9"/>
      <c r="E7" s="8" t="s">
        <v>93</v>
      </c>
      <c r="F7" s="8"/>
      <c r="G7" s="8"/>
    </row>
    <row r="8" spans="1:7" x14ac:dyDescent="0.25">
      <c r="A8" s="8" t="s">
        <v>92</v>
      </c>
      <c r="B8" s="8" t="s">
        <v>51</v>
      </c>
      <c r="C8" s="9"/>
      <c r="D8" s="9"/>
      <c r="E8" s="8" t="s">
        <v>93</v>
      </c>
      <c r="F8" s="8"/>
      <c r="G8" s="8"/>
    </row>
    <row r="9" spans="1:7" ht="30" x14ac:dyDescent="0.25">
      <c r="A9" s="8" t="s">
        <v>94</v>
      </c>
      <c r="B9" s="8" t="s">
        <v>95</v>
      </c>
      <c r="C9" s="9"/>
      <c r="D9" s="9"/>
      <c r="E9" s="8" t="s">
        <v>96</v>
      </c>
      <c r="F9" s="8"/>
      <c r="G9" s="8"/>
    </row>
    <row r="10" spans="1:7" x14ac:dyDescent="0.25">
      <c r="A10" s="8" t="s">
        <v>94</v>
      </c>
      <c r="B10" s="8" t="s">
        <v>57</v>
      </c>
      <c r="C10" s="9"/>
      <c r="D10" s="9"/>
      <c r="E10" s="8" t="s">
        <v>96</v>
      </c>
      <c r="F10" s="8"/>
      <c r="G10" s="8"/>
    </row>
    <row r="11" spans="1:7" x14ac:dyDescent="0.25">
      <c r="A11" s="8" t="s">
        <v>97</v>
      </c>
      <c r="B11" s="8" t="s">
        <v>43</v>
      </c>
      <c r="C11" s="9"/>
      <c r="D11" s="9"/>
      <c r="E11" s="8" t="s">
        <v>98</v>
      </c>
      <c r="F11" s="8"/>
      <c r="G11" s="8"/>
    </row>
    <row r="12" spans="1:7" x14ac:dyDescent="0.25">
      <c r="A12" s="8" t="s">
        <v>97</v>
      </c>
      <c r="B12" s="8" t="s">
        <v>44</v>
      </c>
      <c r="C12" s="9"/>
      <c r="D12" s="9"/>
      <c r="E12" s="8" t="s">
        <v>98</v>
      </c>
      <c r="F12" s="8"/>
      <c r="G12" s="8"/>
    </row>
    <row r="13" spans="1:7" ht="30" x14ac:dyDescent="0.25">
      <c r="A13" s="8" t="s">
        <v>97</v>
      </c>
      <c r="B13" s="8" t="s">
        <v>42</v>
      </c>
      <c r="C13" s="9"/>
      <c r="D13" s="9"/>
      <c r="E13" s="8" t="s">
        <v>98</v>
      </c>
      <c r="F13" s="8"/>
      <c r="G13" s="8"/>
    </row>
    <row r="14" spans="1:7" ht="30" x14ac:dyDescent="0.25">
      <c r="A14" s="8" t="s">
        <v>97</v>
      </c>
      <c r="B14" s="8" t="s">
        <v>49</v>
      </c>
      <c r="C14" s="9"/>
      <c r="D14" s="9"/>
      <c r="E14" s="8" t="s">
        <v>98</v>
      </c>
      <c r="F14" s="8"/>
      <c r="G14" s="8"/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"/>
  <sheetViews>
    <sheetView showGridLines="0" workbookViewId="0">
      <pane ySplit="4" topLeftCell="A5" activePane="bottomLeft" state="frozen"/>
      <selection pane="bottomLeft" activeCell="F28" sqref="F28"/>
    </sheetView>
  </sheetViews>
  <sheetFormatPr baseColWidth="10" defaultColWidth="8.85546875" defaultRowHeight="15" x14ac:dyDescent="0.25"/>
  <cols>
    <col min="1" max="1" width="14" customWidth="1"/>
    <col min="2" max="3" width="18" customWidth="1"/>
    <col min="4" max="4" width="14" customWidth="1"/>
    <col min="5" max="5" width="18" customWidth="1"/>
    <col min="6" max="7" width="14" customWidth="1"/>
    <col min="8" max="8" width="20" customWidth="1"/>
    <col min="9" max="9" width="14" customWidth="1"/>
    <col min="10" max="10" width="16" customWidth="1"/>
    <col min="11" max="11" width="18" customWidth="1"/>
    <col min="12" max="12" width="42" customWidth="1"/>
  </cols>
  <sheetData>
    <row r="1" spans="1:12" ht="25.9" customHeight="1" x14ac:dyDescent="0.25">
      <c r="A1" s="50" t="s">
        <v>99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28.15" customHeight="1" x14ac:dyDescent="0.25">
      <c r="A2" s="48" t="s">
        <v>100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4" spans="1:12" ht="30" x14ac:dyDescent="0.25">
      <c r="A4" s="4" t="s">
        <v>25</v>
      </c>
      <c r="B4" s="4" t="s">
        <v>101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102</v>
      </c>
      <c r="H4" s="4" t="s">
        <v>54</v>
      </c>
      <c r="I4" s="4" t="s">
        <v>44</v>
      </c>
      <c r="J4" s="4" t="s">
        <v>43</v>
      </c>
      <c r="K4" s="4" t="s">
        <v>42</v>
      </c>
      <c r="L4" s="4" t="s">
        <v>89</v>
      </c>
    </row>
    <row r="5" spans="1:12" x14ac:dyDescent="0.25">
      <c r="A5" s="5" t="s">
        <v>103</v>
      </c>
      <c r="B5" s="6">
        <f>SUMIF('Datos Semanales'!$B$5:$B$57,A5,'Datos Semanales'!$G$5:$G$57)</f>
        <v>0</v>
      </c>
      <c r="C5" s="6">
        <f>SUMIF('Datos Semanales'!$B$5:$B$57,A5,'Datos Semanales'!$H$5:$H$57)</f>
        <v>0</v>
      </c>
      <c r="D5" s="7">
        <f t="shared" ref="D5:D16" si="0">IFERROR(B5/C5,0)</f>
        <v>0</v>
      </c>
      <c r="E5" s="6">
        <f>SUMIF('Datos Semanales'!$B$5:$B$57,A5,'Datos Semanales'!$J$5:$J$57)</f>
        <v>0</v>
      </c>
      <c r="F5" s="7">
        <f t="shared" ref="F5:F16" si="1">IFERROR(B5/E5-1,0)</f>
        <v>0</v>
      </c>
      <c r="G5" s="6">
        <f>SUMIF('Datos Semanales'!$B$5:$B$57,A5,'Datos Semanales'!$AB$5:$AB$57)</f>
        <v>0</v>
      </c>
      <c r="H5" s="7">
        <f>IFERROR(AVERAGEIF('Datos Semanales'!$B$5:$B$57,A5,'Datos Semanales'!$AF$5:$AF$57),0)</f>
        <v>0</v>
      </c>
      <c r="I5" s="7">
        <f>IFERROR(AVERAGEIF('Datos Semanales'!$B$5:$B$57,A5,'Datos Semanales'!$U$5:$U$57),0)</f>
        <v>0</v>
      </c>
      <c r="J5" s="7">
        <f>IFERROR(AVERAGEIF('Datos Semanales'!$B$5:$B$57,A5,'Datos Semanales'!$T$5:$T$57),0)</f>
        <v>0</v>
      </c>
      <c r="K5" s="6" t="e">
        <f ca="1">_xludf.MAXIFS('Datos Semanales'!$S$5:$S$57,'Datos Semanales'!$B$5:$B$57,A5)</f>
        <v>#NAME?</v>
      </c>
      <c r="L5" s="5"/>
    </row>
    <row r="6" spans="1:12" x14ac:dyDescent="0.25">
      <c r="A6" s="5" t="s">
        <v>104</v>
      </c>
      <c r="B6" s="6">
        <f>SUMIF('Datos Semanales'!$B$5:$B$57,A6,'Datos Semanales'!$G$5:$G$57)</f>
        <v>0</v>
      </c>
      <c r="C6" s="6">
        <f>SUMIF('Datos Semanales'!$B$5:$B$57,A6,'Datos Semanales'!$H$5:$H$57)</f>
        <v>0</v>
      </c>
      <c r="D6" s="7">
        <f t="shared" si="0"/>
        <v>0</v>
      </c>
      <c r="E6" s="6">
        <f>SUMIF('Datos Semanales'!$B$5:$B$57,A6,'Datos Semanales'!$J$5:$J$57)</f>
        <v>0</v>
      </c>
      <c r="F6" s="7">
        <f t="shared" si="1"/>
        <v>0</v>
      </c>
      <c r="G6" s="6">
        <f>SUMIF('Datos Semanales'!$B$5:$B$57,A6,'Datos Semanales'!$AB$5:$AB$57)</f>
        <v>0</v>
      </c>
      <c r="H6" s="7">
        <f>IFERROR(AVERAGEIF('Datos Semanales'!$B$5:$B$57,A6,'Datos Semanales'!$AF$5:$AF$57),0)</f>
        <v>0</v>
      </c>
      <c r="I6" s="7">
        <f>IFERROR(AVERAGEIF('Datos Semanales'!$B$5:$B$57,A6,'Datos Semanales'!$U$5:$U$57),0)</f>
        <v>0</v>
      </c>
      <c r="J6" s="7">
        <f>IFERROR(AVERAGEIF('Datos Semanales'!$B$5:$B$57,A6,'Datos Semanales'!$T$5:$T$57),0)</f>
        <v>0</v>
      </c>
      <c r="K6" s="6" t="e">
        <f ca="1">_xludf.MAXIFS('Datos Semanales'!$S$5:$S$57,'Datos Semanales'!$B$5:$B$57,A6)</f>
        <v>#NAME?</v>
      </c>
      <c r="L6" s="5"/>
    </row>
    <row r="7" spans="1:12" x14ac:dyDescent="0.25">
      <c r="A7" s="5" t="s">
        <v>105</v>
      </c>
      <c r="B7" s="6">
        <f>SUMIF('Datos Semanales'!$B$5:$B$57,A7,'Datos Semanales'!$G$5:$G$57)</f>
        <v>0</v>
      </c>
      <c r="C7" s="6">
        <f>SUMIF('Datos Semanales'!$B$5:$B$57,A7,'Datos Semanales'!$H$5:$H$57)</f>
        <v>0</v>
      </c>
      <c r="D7" s="7">
        <f t="shared" si="0"/>
        <v>0</v>
      </c>
      <c r="E7" s="6">
        <f>SUMIF('Datos Semanales'!$B$5:$B$57,A7,'Datos Semanales'!$J$5:$J$57)</f>
        <v>0</v>
      </c>
      <c r="F7" s="7">
        <f t="shared" si="1"/>
        <v>0</v>
      </c>
      <c r="G7" s="6">
        <f>SUMIF('Datos Semanales'!$B$5:$B$57,A7,'Datos Semanales'!$AB$5:$AB$57)</f>
        <v>0</v>
      </c>
      <c r="H7" s="7">
        <f>IFERROR(AVERAGEIF('Datos Semanales'!$B$5:$B$57,A7,'Datos Semanales'!$AF$5:$AF$57),0)</f>
        <v>0</v>
      </c>
      <c r="I7" s="7">
        <f>IFERROR(AVERAGEIF('Datos Semanales'!$B$5:$B$57,A7,'Datos Semanales'!$U$5:$U$57),0)</f>
        <v>0</v>
      </c>
      <c r="J7" s="7">
        <f>IFERROR(AVERAGEIF('Datos Semanales'!$B$5:$B$57,A7,'Datos Semanales'!$T$5:$T$57),0)</f>
        <v>0</v>
      </c>
      <c r="K7" s="6" t="e">
        <f ca="1">_xludf.MAXIFS('Datos Semanales'!$S$5:$S$57,'Datos Semanales'!$B$5:$B$57,A7)</f>
        <v>#NAME?</v>
      </c>
      <c r="L7" s="5"/>
    </row>
    <row r="8" spans="1:12" x14ac:dyDescent="0.25">
      <c r="A8" s="5" t="s">
        <v>63</v>
      </c>
      <c r="B8" s="6">
        <f>SUMIF('Datos Semanales'!$B$5:$B$57,A8,'Datos Semanales'!$G$5:$G$57)</f>
        <v>105793.88</v>
      </c>
      <c r="C8" s="6">
        <f>SUMIF('Datos Semanales'!$B$5:$B$57,A8,'Datos Semanales'!$H$5:$H$57)</f>
        <v>93000</v>
      </c>
      <c r="D8" s="7">
        <f t="shared" si="0"/>
        <v>1.1375686021505378</v>
      </c>
      <c r="E8" s="6">
        <f>SUMIF('Datos Semanales'!$B$5:$B$57,A8,'Datos Semanales'!$J$5:$J$57)</f>
        <v>98400</v>
      </c>
      <c r="F8" s="7">
        <f t="shared" si="1"/>
        <v>7.5141056910569048E-2</v>
      </c>
      <c r="G8" s="6">
        <f>SUMIF('Datos Semanales'!$B$5:$B$57,A8,'Datos Semanales'!$AB$5:$AB$57)</f>
        <v>107</v>
      </c>
      <c r="H8" s="7">
        <f>IFERROR(AVERAGEIF('Datos Semanales'!$B$5:$B$57,A8,'Datos Semanales'!$AF$5:$AF$57),0)</f>
        <v>1.86932215234102E-2</v>
      </c>
      <c r="I8" s="7">
        <f>IFERROR(AVERAGEIF('Datos Semanales'!$B$5:$B$57,A8,'Datos Semanales'!$U$5:$U$57),0)</f>
        <v>0.5714285714285714</v>
      </c>
      <c r="J8" s="7">
        <f>IFERROR(AVERAGEIF('Datos Semanales'!$B$5:$B$57,A8,'Datos Semanales'!$T$5:$T$57),0)</f>
        <v>0</v>
      </c>
      <c r="K8" s="6" t="e">
        <f ca="1">_xludf.MAXIFS('Datos Semanales'!$S$5:$S$57,'Datos Semanales'!$B$5:$B$57,A8)</f>
        <v>#NAME?</v>
      </c>
      <c r="L8" s="5"/>
    </row>
    <row r="9" spans="1:12" x14ac:dyDescent="0.25">
      <c r="A9" s="5" t="s">
        <v>64</v>
      </c>
      <c r="B9" s="6">
        <f>SUMIF('Datos Semanales'!$B$5:$B$57,A9,'Datos Semanales'!$G$5:$G$57)</f>
        <v>168094.37</v>
      </c>
      <c r="C9" s="6">
        <f>SUMIF('Datos Semanales'!$B$5:$B$57,A9,'Datos Semanales'!$H$5:$H$57)</f>
        <v>186000</v>
      </c>
      <c r="D9" s="7">
        <f t="shared" si="0"/>
        <v>0.90373317204301074</v>
      </c>
      <c r="E9" s="6">
        <f>SUMIF('Datos Semanales'!$B$5:$B$57,A9,'Datos Semanales'!$J$5:$J$57)</f>
        <v>220548.71</v>
      </c>
      <c r="F9" s="7">
        <f t="shared" si="1"/>
        <v>-0.23783562370416944</v>
      </c>
      <c r="G9" s="6">
        <f>SUMIF('Datos Semanales'!$B$5:$B$57,A9,'Datos Semanales'!$AB$5:$AB$57)</f>
        <v>156</v>
      </c>
      <c r="H9" s="7">
        <f>IFERROR(AVERAGEIF('Datos Semanales'!$B$5:$B$57,A9,'Datos Semanales'!$AF$5:$AF$57),0)</f>
        <v>3.7884566488685482E-2</v>
      </c>
      <c r="I9" s="7">
        <f>IFERROR(AVERAGEIF('Datos Semanales'!$B$5:$B$57,A9,'Datos Semanales'!$U$5:$U$57),0)</f>
        <v>0.40461338531513968</v>
      </c>
      <c r="J9" s="7">
        <f>IFERROR(AVERAGEIF('Datos Semanales'!$B$5:$B$57,A9,'Datos Semanales'!$T$5:$T$57),0)</f>
        <v>7.5820205231969931E-2</v>
      </c>
      <c r="K9" s="6" t="e">
        <f ca="1">_xludf.MAXIFS('Datos Semanales'!$S$5:$S$57,'Datos Semanales'!$B$5:$B$57,A9)</f>
        <v>#NAME?</v>
      </c>
      <c r="L9" s="5"/>
    </row>
    <row r="10" spans="1:12" x14ac:dyDescent="0.25">
      <c r="A10" s="5" t="s">
        <v>66</v>
      </c>
      <c r="B10" s="6">
        <f>SUMIF('Datos Semanales'!$B$5:$B$57,A10,'Datos Semanales'!$G$5:$G$57)</f>
        <v>167019</v>
      </c>
      <c r="C10" s="6">
        <f>SUMIF('Datos Semanales'!$B$5:$B$57,A10,'Datos Semanales'!$H$5:$H$57)</f>
        <v>232500</v>
      </c>
      <c r="D10" s="7">
        <f t="shared" si="0"/>
        <v>0.71836129032258067</v>
      </c>
      <c r="E10" s="6">
        <f>SUMIF('Datos Semanales'!$B$5:$B$57,A10,'Datos Semanales'!$J$5:$J$57)</f>
        <v>203309</v>
      </c>
      <c r="F10" s="7">
        <f t="shared" si="1"/>
        <v>-0.17849677092504512</v>
      </c>
      <c r="G10" s="6">
        <f>SUMIF('Datos Semanales'!$B$5:$B$57,A10,'Datos Semanales'!$AB$5:$AB$57)</f>
        <v>0</v>
      </c>
      <c r="H10" s="7">
        <f>IFERROR(AVERAGEIF('Datos Semanales'!$B$5:$B$57,A10,'Datos Semanales'!$AF$5:$AF$57),0)</f>
        <v>0</v>
      </c>
      <c r="I10" s="7">
        <f>IFERROR(AVERAGEIF('Datos Semanales'!$B$5:$B$57,A10,'Datos Semanales'!$U$5:$U$57),0)</f>
        <v>0.39426593521421111</v>
      </c>
      <c r="J10" s="7">
        <f>IFERROR(AVERAGEIF('Datos Semanales'!$B$5:$B$57,A10,'Datos Semanales'!$T$5:$T$57),0)</f>
        <v>3.5548300922545961E-2</v>
      </c>
      <c r="K10" s="6" t="e">
        <f ca="1">_xludf.MAXIFS('Datos Semanales'!$S$5:$S$57,'Datos Semanales'!$B$5:$B$57,A10)</f>
        <v>#NAME?</v>
      </c>
      <c r="L10" s="5"/>
    </row>
    <row r="11" spans="1:12" x14ac:dyDescent="0.25">
      <c r="A11" s="5" t="s">
        <v>67</v>
      </c>
      <c r="B11" s="6">
        <f>SUMIF('Datos Semanales'!$B$5:$B$57,A11,'Datos Semanales'!$G$5:$G$57)</f>
        <v>60535</v>
      </c>
      <c r="C11" s="6">
        <f>SUMIF('Datos Semanales'!$B$5:$B$57,A11,'Datos Semanales'!$H$5:$H$57)</f>
        <v>186000</v>
      </c>
      <c r="D11" s="7">
        <f t="shared" si="0"/>
        <v>0.32545698924731181</v>
      </c>
      <c r="E11" s="6">
        <f>SUMIF('Datos Semanales'!$B$5:$B$57,A11,'Datos Semanales'!$J$5:$J$57)</f>
        <v>179772</v>
      </c>
      <c r="F11" s="7">
        <f t="shared" si="1"/>
        <v>-0.66326791713948774</v>
      </c>
      <c r="G11" s="6">
        <f>SUMIF('Datos Semanales'!$B$5:$B$57,A11,'Datos Semanales'!$AB$5:$AB$57)</f>
        <v>0</v>
      </c>
      <c r="H11" s="7">
        <f>IFERROR(AVERAGEIF('Datos Semanales'!$B$5:$B$57,A11,'Datos Semanales'!$AF$5:$AF$57),0)</f>
        <v>0</v>
      </c>
      <c r="I11" s="7">
        <f>IFERROR(AVERAGEIF('Datos Semanales'!$B$5:$B$57,A11,'Datos Semanales'!$U$5:$U$57),0)</f>
        <v>0.89583333333333337</v>
      </c>
      <c r="J11" s="7">
        <f>IFERROR(AVERAGEIF('Datos Semanales'!$B$5:$B$57,A11,'Datos Semanales'!$T$5:$T$57),0)</f>
        <v>9.931452255699029E-2</v>
      </c>
      <c r="K11" s="6" t="e">
        <f ca="1">_xludf.MAXIFS('Datos Semanales'!$S$5:$S$57,'Datos Semanales'!$B$5:$B$57,A11)</f>
        <v>#NAME?</v>
      </c>
      <c r="L11" s="5"/>
    </row>
    <row r="12" spans="1:12" x14ac:dyDescent="0.25">
      <c r="A12" s="5" t="s">
        <v>106</v>
      </c>
      <c r="B12" s="6">
        <f>SUMIF('Datos Semanales'!$B$5:$B$57,A12,'Datos Semanales'!$G$5:$G$57)</f>
        <v>49990</v>
      </c>
      <c r="C12" s="6">
        <f>SUMIF('Datos Semanales'!$B$5:$B$57,A12,'Datos Semanales'!$H$5:$H$57)</f>
        <v>224500</v>
      </c>
      <c r="D12" s="7">
        <f t="shared" si="0"/>
        <v>0.22267260579064588</v>
      </c>
      <c r="E12" s="6">
        <f>SUMIF('Datos Semanales'!$B$5:$B$57,A12,'Datos Semanales'!$J$5:$J$57)</f>
        <v>85514</v>
      </c>
      <c r="F12" s="7">
        <f t="shared" si="1"/>
        <v>-0.41541735856117123</v>
      </c>
      <c r="G12" s="6">
        <f>SUMIF('Datos Semanales'!$B$5:$B$57,A12,'Datos Semanales'!$AB$5:$AB$57)</f>
        <v>0</v>
      </c>
      <c r="H12" s="7">
        <f>IFERROR(AVERAGEIF('Datos Semanales'!$B$5:$B$57,A12,'Datos Semanales'!$AF$5:$AF$57),0)</f>
        <v>0</v>
      </c>
      <c r="I12" s="7">
        <f>IFERROR(AVERAGEIF('Datos Semanales'!$B$5:$B$57,A12,'Datos Semanales'!$U$5:$U$57),0)</f>
        <v>0</v>
      </c>
      <c r="J12" s="7">
        <f>IFERROR(AVERAGEIF('Datos Semanales'!$B$5:$B$57,A12,'Datos Semanales'!$T$5:$T$57),0)</f>
        <v>0</v>
      </c>
      <c r="K12" s="6" t="e">
        <f ca="1">_xludf.MAXIFS('Datos Semanales'!$S$5:$S$57,'Datos Semanales'!$B$5:$B$57,A12)</f>
        <v>#NAME?</v>
      </c>
      <c r="L12" s="5"/>
    </row>
    <row r="13" spans="1:12" x14ac:dyDescent="0.25">
      <c r="A13" s="5" t="s">
        <v>107</v>
      </c>
      <c r="B13" s="6">
        <f>SUMIF('Datos Semanales'!$B$5:$B$57,A13,'Datos Semanales'!$G$5:$G$57)</f>
        <v>138625</v>
      </c>
      <c r="C13" s="6">
        <f>SUMIF('Datos Semanales'!$B$5:$B$57,A13,'Datos Semanales'!$H$5:$H$57)</f>
        <v>232500</v>
      </c>
      <c r="D13" s="7">
        <f t="shared" si="0"/>
        <v>0.59623655913978491</v>
      </c>
      <c r="E13" s="6">
        <f>SUMIF('Datos Semanales'!$B$5:$B$57,A13,'Datos Semanales'!$J$5:$J$57)</f>
        <v>201515</v>
      </c>
      <c r="F13" s="7">
        <f t="shared" si="1"/>
        <v>-0.31208594893680375</v>
      </c>
      <c r="G13" s="6">
        <f>SUMIF('Datos Semanales'!$B$5:$B$57,A13,'Datos Semanales'!$AB$5:$AB$57)</f>
        <v>0</v>
      </c>
      <c r="H13" s="7">
        <f>IFERROR(AVERAGEIF('Datos Semanales'!$B$5:$B$57,A13,'Datos Semanales'!$AF$5:$AF$57),0)</f>
        <v>0</v>
      </c>
      <c r="I13" s="7">
        <f>IFERROR(AVERAGEIF('Datos Semanales'!$B$5:$B$57,A13,'Datos Semanales'!$U$5:$U$57),0)</f>
        <v>0</v>
      </c>
      <c r="J13" s="7">
        <f>IFERROR(AVERAGEIF('Datos Semanales'!$B$5:$B$57,A13,'Datos Semanales'!$T$5:$T$57),0)</f>
        <v>0</v>
      </c>
      <c r="K13" s="6" t="e">
        <f ca="1">_xludf.MAXIFS('Datos Semanales'!$S$5:$S$57,'Datos Semanales'!$B$5:$B$57,A13)</f>
        <v>#NAME?</v>
      </c>
      <c r="L13" s="5"/>
    </row>
    <row r="14" spans="1:12" x14ac:dyDescent="0.25">
      <c r="A14" s="5" t="s">
        <v>108</v>
      </c>
      <c r="B14" s="6">
        <f>SUMIF('Datos Semanales'!$B$5:$B$57,A14,'Datos Semanales'!$G$5:$G$57)</f>
        <v>19905</v>
      </c>
      <c r="C14" s="6">
        <f>SUMIF('Datos Semanales'!$B$5:$B$57,A14,'Datos Semanales'!$H$5:$H$57)</f>
        <v>46500</v>
      </c>
      <c r="D14" s="7">
        <f t="shared" si="0"/>
        <v>0.42806451612903224</v>
      </c>
      <c r="E14" s="6">
        <f>SUMIF('Datos Semanales'!$B$5:$B$57,A14,'Datos Semanales'!$J$5:$J$57)</f>
        <v>44073.75</v>
      </c>
      <c r="F14" s="7">
        <f t="shared" si="1"/>
        <v>-0.54837062877563181</v>
      </c>
      <c r="G14" s="6">
        <f>SUMIF('Datos Semanales'!$B$5:$B$57,A14,'Datos Semanales'!$AB$5:$AB$57)</f>
        <v>0</v>
      </c>
      <c r="H14" s="7">
        <f>IFERROR(AVERAGEIF('Datos Semanales'!$B$5:$B$57,A14,'Datos Semanales'!$AF$5:$AF$57),0)</f>
        <v>0</v>
      </c>
      <c r="I14" s="7">
        <f>IFERROR(AVERAGEIF('Datos Semanales'!$B$5:$B$57,A14,'Datos Semanales'!$U$5:$U$57),0)</f>
        <v>0</v>
      </c>
      <c r="J14" s="7">
        <f>IFERROR(AVERAGEIF('Datos Semanales'!$B$5:$B$57,A14,'Datos Semanales'!$T$5:$T$57),0)</f>
        <v>0</v>
      </c>
      <c r="K14" s="6" t="e">
        <f ca="1">_xludf.MAXIFS('Datos Semanales'!$S$5:$S$57,'Datos Semanales'!$B$5:$B$57,A14)</f>
        <v>#NAME?</v>
      </c>
      <c r="L14" s="5"/>
    </row>
    <row r="15" spans="1:12" x14ac:dyDescent="0.25">
      <c r="A15" s="5" t="s">
        <v>109</v>
      </c>
      <c r="B15" s="6">
        <f>SUMIF('Datos Semanales'!$B$5:$B$57,A15,'Datos Semanales'!$G$5:$G$57)</f>
        <v>0</v>
      </c>
      <c r="C15" s="6">
        <f>SUMIF('Datos Semanales'!$B$5:$B$57,A15,'Datos Semanales'!$H$5:$H$57)</f>
        <v>0</v>
      </c>
      <c r="D15" s="7">
        <f t="shared" si="0"/>
        <v>0</v>
      </c>
      <c r="E15" s="6">
        <f>SUMIF('Datos Semanales'!$B$5:$B$57,A15,'Datos Semanales'!$J$5:$J$57)</f>
        <v>0</v>
      </c>
      <c r="F15" s="7">
        <f t="shared" si="1"/>
        <v>0</v>
      </c>
      <c r="G15" s="6">
        <f>SUMIF('Datos Semanales'!$B$5:$B$57,A15,'Datos Semanales'!$AB$5:$AB$57)</f>
        <v>0</v>
      </c>
      <c r="H15" s="7">
        <f>IFERROR(AVERAGEIF('Datos Semanales'!$B$5:$B$57,A15,'Datos Semanales'!$AF$5:$AF$57),0)</f>
        <v>0</v>
      </c>
      <c r="I15" s="7">
        <f>IFERROR(AVERAGEIF('Datos Semanales'!$B$5:$B$57,A15,'Datos Semanales'!$U$5:$U$57),0)</f>
        <v>0</v>
      </c>
      <c r="J15" s="7">
        <f>IFERROR(AVERAGEIF('Datos Semanales'!$B$5:$B$57,A15,'Datos Semanales'!$T$5:$T$57),0)</f>
        <v>0</v>
      </c>
      <c r="K15" s="6" t="e">
        <f ca="1">_xludf.MAXIFS('Datos Semanales'!$S$5:$S$57,'Datos Semanales'!$B$5:$B$57,A15)</f>
        <v>#NAME?</v>
      </c>
      <c r="L15" s="5"/>
    </row>
    <row r="16" spans="1:12" x14ac:dyDescent="0.25">
      <c r="A16" s="5" t="s">
        <v>110</v>
      </c>
      <c r="B16" s="6">
        <f>SUMIF('Datos Semanales'!$B$5:$B$57,A16,'Datos Semanales'!$G$5:$G$57)</f>
        <v>0</v>
      </c>
      <c r="C16" s="6">
        <f>SUMIF('Datos Semanales'!$B$5:$B$57,A16,'Datos Semanales'!$H$5:$H$57)</f>
        <v>0</v>
      </c>
      <c r="D16" s="7">
        <f t="shared" si="0"/>
        <v>0</v>
      </c>
      <c r="E16" s="6">
        <f>SUMIF('Datos Semanales'!$B$5:$B$57,A16,'Datos Semanales'!$J$5:$J$57)</f>
        <v>0</v>
      </c>
      <c r="F16" s="7">
        <f t="shared" si="1"/>
        <v>0</v>
      </c>
      <c r="G16" s="6">
        <f>SUMIF('Datos Semanales'!$B$5:$B$57,A16,'Datos Semanales'!$AB$5:$AB$57)</f>
        <v>0</v>
      </c>
      <c r="H16" s="7">
        <f>IFERROR(AVERAGEIF('Datos Semanales'!$B$5:$B$57,A16,'Datos Semanales'!$AF$5:$AF$57),0)</f>
        <v>0</v>
      </c>
      <c r="I16" s="7">
        <f>IFERROR(AVERAGEIF('Datos Semanales'!$B$5:$B$57,A16,'Datos Semanales'!$U$5:$U$57),0)</f>
        <v>0</v>
      </c>
      <c r="J16" s="7">
        <f>IFERROR(AVERAGEIF('Datos Semanales'!$B$5:$B$57,A16,'Datos Semanales'!$T$5:$T$57),0)</f>
        <v>0</v>
      </c>
      <c r="K16" s="6" t="e">
        <f ca="1">_xludf.MAXIFS('Datos Semanales'!$S$5:$S$57,'Datos Semanales'!$B$5:$B$57,A16)</f>
        <v>#NAME?</v>
      </c>
      <c r="L16" s="5"/>
    </row>
  </sheetData>
  <mergeCells count="2">
    <mergeCell ref="A2:L2"/>
    <mergeCell ref="A1:L1"/>
  </mergeCells>
  <conditionalFormatting sqref="D5:D16">
    <cfRule type="cellIs" dxfId="2" priority="1" operator="lessThan">
      <formula>0.9</formula>
    </cfRule>
  </conditionalFormatting>
  <conditionalFormatting sqref="I5:I16">
    <cfRule type="cellIs" dxfId="1" priority="2" operator="greaterThan">
      <formula>0.02</formula>
    </cfRule>
  </conditionalFormatting>
  <conditionalFormatting sqref="J5:J16">
    <cfRule type="cellIs" dxfId="0" priority="3" operator="greaterThan">
      <formula>0.1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Instrucciones</vt:lpstr>
      <vt:lpstr>Datos Semanales</vt:lpstr>
      <vt:lpstr>Dashboard</vt:lpstr>
      <vt:lpstr>Plantilla Semana</vt:lpstr>
      <vt:lpstr>Resumen Mensual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Borja -  BoCubi</cp:lastModifiedBy>
  <cp:revision/>
  <dcterms:created xsi:type="dcterms:W3CDTF">2026-05-03T11:55:19Z</dcterms:created>
  <dcterms:modified xsi:type="dcterms:W3CDTF">2026-10-13T10:22:44Z</dcterms:modified>
  <cp:category/>
  <cp:contentStatus/>
</cp:coreProperties>
</file>